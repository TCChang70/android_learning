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emp\android_learning\"/>
    </mc:Choice>
  </mc:AlternateContent>
  <bookViews>
    <workbookView xWindow="0" yWindow="0" windowWidth="14380" windowHeight="4260" activeTab="2"/>
  </bookViews>
  <sheets>
    <sheet name="00. 確認項目總表" sheetId="1" r:id="rId1"/>
    <sheet name="課綱(參考範本)" sheetId="2" r:id="rId2"/>
    <sheet name="01. 課綱" sheetId="3" r:id="rId3"/>
    <sheet name="02. 測驗15題" sheetId="4" r:id="rId4"/>
    <sheet name="03. 系統需求表" sheetId="5" r:id="rId5"/>
    <sheet name="04. 課程資訊" sheetId="6" r:id="rId6"/>
  </sheets>
  <calcPr calcId="152511"/>
</workbook>
</file>

<file path=xl/calcChain.xml><?xml version="1.0" encoding="utf-8"?>
<calcChain xmlns="http://schemas.openxmlformats.org/spreadsheetml/2006/main">
  <c r="H38" i="3" l="1"/>
  <c r="H33" i="3"/>
  <c r="H28" i="3"/>
  <c r="H23" i="3"/>
  <c r="H18" i="3"/>
  <c r="H49" i="2"/>
  <c r="H42" i="2"/>
  <c r="H36" i="2"/>
  <c r="H27" i="2"/>
  <c r="H22" i="2"/>
  <c r="F1" i="2"/>
</calcChain>
</file>

<file path=xl/sharedStrings.xml><?xml version="1.0" encoding="utf-8"?>
<sst xmlns="http://schemas.openxmlformats.org/spreadsheetml/2006/main" count="580" uniqueCount="314">
  <si>
    <t>Check</t>
  </si>
  <si>
    <t>項次</t>
  </si>
  <si>
    <t>專案事項</t>
  </si>
  <si>
    <t>說明</t>
  </si>
  <si>
    <t>提供者</t>
  </si>
  <si>
    <t>課綱</t>
  </si>
  <si>
    <t>1. 請老師填寫Sheet 01. 課綱，可參考【課綱(參考範本)】
2. 不用全部填寫，填寫欄位如右圖，可自行新增欄位
*老師提供的課綱
android課程大綱 (講師提供).pdf</t>
  </si>
  <si>
    <t>庭禎老師</t>
  </si>
  <si>
    <t>考題15題</t>
  </si>
  <si>
    <t>請老師填寫Sheet 02. 測驗15題，提供考題15題</t>
  </si>
  <si>
    <t>系統需求表</t>
  </si>
  <si>
    <t>請老師填寫Sheet 03. 系統需求表（黃色欄位）</t>
  </si>
  <si>
    <t>課程資訊</t>
  </si>
  <si>
    <t>請老師填寫Sheet 04. 課程資訊，主要是需要製作行銷文案時，有相關的內容素可使用</t>
  </si>
  <si>
    <t>合約</t>
  </si>
  <si>
    <t>於 9/9 提供電子檔連結，9/23(三)請老師攜帶印鑑章，當天老師錄音完成，再請通知茜妮，會去找您簽合約：
F-OT-0044-2 窩課360平台「影音課程」開課合約書_附約 (載明合作課程、約定售價與分潤比例).pdf</t>
  </si>
  <si>
    <t>請老師9/23
攜帶印鑑章</t>
  </si>
  <si>
    <t>教材範例</t>
  </si>
  <si>
    <t>老師的上課教材範例以及AI互動指南，可放置於錄音資料夾內，再協助標示配合單元，之後我會上傳至影音課程網頁中</t>
  </si>
  <si>
    <t>作品圖片</t>
  </si>
  <si>
    <t>因相關行銷企劃需要作品圖片示意，需請老師提供，以利後續製作</t>
  </si>
  <si>
    <t>Banner</t>
  </si>
  <si>
    <t>1. 製作時間：課程錄製完成後
2. 相關工作：後續我會根據課程資訊製作相關設計企劃，屆時會請老師確認</t>
  </si>
  <si>
    <t>茜妮</t>
  </si>
  <si>
    <t>LandingPage</t>
  </si>
  <si>
    <t>同上</t>
  </si>
  <si>
    <t>行銷影片</t>
  </si>
  <si>
    <t>同上
＊詢問是否出鏡：行銷影片會是老師錄製口白，因此也想詢問您是否出鏡拍攝畫面，若老師有意願，屆時會與您約拍攝時間</t>
  </si>
  <si>
    <t>電子贈品</t>
  </si>
  <si>
    <t xml:space="preserve">同上
＊電子贈品說明：
概念類似創作者推廣產品時提供的範本、Know-how 或教學資料，讓有需求的使用者免費索取，在提供實用資訊的同時，也進一步認識課程內容。
目前窩課於各課程頁面設置電子贈品領取連結，學員登入會員後即可下載。內容會比 Landing Page 提供更多實用知識與技巧，並將部分課程重點以霧化方式呈現，購買課程後即可解鎖完整資訊。
</t>
  </si>
  <si>
    <t>錄製時段</t>
  </si>
  <si>
    <t>[ 2026/9 301錄音室使用時段 ](紅字需特別注意之時段)
9月錄音
9/14 (一) 13:30-18:30
9/16 (三) 9:30-16:30
9/21 (一) 10:30-16:30
9/23 (三) 9:30-16:30
9/28 (一) 9:30-16:30
9/30 (三) 9:30-16:30
10月錄音
10/3(六)9:30-16:30
10/17(六)9:30-16:30
10/24(六)9:30-16:30
10/31(六)9:30-16:30
* 錄音室鑰匙：可直接向3F櫃檯借301錄音室鑰匙，使用完畢後歸還即可
* 電腦使用：請使用301錄製室右側電腦，若有使用上問題可隨時聯繫
帳號：user
密碼：gjun001
*需調整時間再隨時告知茜妮</t>
  </si>
  <si>
    <t>課程代號：</t>
  </si>
  <si>
    <t>01646tc3</t>
  </si>
  <si>
    <t>課程長度：</t>
  </si>
  <si>
    <t>課程名稱：</t>
  </si>
  <si>
    <t>產品設計專案實戰：四旋翼外觀與結構設計</t>
  </si>
  <si>
    <t>課程實際長度：</t>
  </si>
  <si>
    <t>實體課程代號：</t>
  </si>
  <si>
    <t>建議學習倍數：</t>
  </si>
  <si>
    <t>實體課程名稱：</t>
  </si>
  <si>
    <t>建議學習時數：</t>
  </si>
  <si>
    <t>課程總覽</t>
  </si>
  <si>
    <t>老師教講(AVI)</t>
  </si>
  <si>
    <t>備註</t>
  </si>
  <si>
    <t>單元次</t>
  </si>
  <si>
    <t>小計
 單元名稱</t>
  </si>
  <si>
    <t>1 個</t>
  </si>
  <si>
    <t>0 節</t>
  </si>
  <si>
    <t>檔號</t>
  </si>
  <si>
    <t>成品長度</t>
  </si>
  <si>
    <t>introduction</t>
  </si>
  <si>
    <t>範例下載</t>
  </si>
  <si>
    <t>0 個</t>
  </si>
  <si>
    <t>第一堂</t>
  </si>
  <si>
    <t>學員專區</t>
  </si>
  <si>
    <t>小計時間</t>
  </si>
  <si>
    <t>3 個</t>
  </si>
  <si>
    <t>1_</t>
  </si>
  <si>
    <t>課程社團說明</t>
  </si>
  <si>
    <t>01646tc3_1_1_1</t>
  </si>
  <si>
    <t>第二堂</t>
  </si>
  <si>
    <t>零組件彙整與組裝</t>
  </si>
  <si>
    <t>2 個</t>
  </si>
  <si>
    <t>2_</t>
  </si>
  <si>
    <t>零組件組裝</t>
  </si>
  <si>
    <t>01646tc3_2_1_1</t>
  </si>
  <si>
    <t>第三堂</t>
  </si>
  <si>
    <t>外觀造型設計</t>
  </si>
  <si>
    <t>3_</t>
  </si>
  <si>
    <t>匯入外型參考圖</t>
  </si>
  <si>
    <t>01646tc3_3_1_1</t>
  </si>
  <si>
    <t>建立外觀輪廓</t>
  </si>
  <si>
    <t>01646tc3_3_2_1</t>
  </si>
  <si>
    <t>建立上蓋造型</t>
  </si>
  <si>
    <t>01646tc3_3_3_1</t>
  </si>
  <si>
    <t>建立下蓋造型</t>
  </si>
  <si>
    <t>01646tc3_3_4_1</t>
  </si>
  <si>
    <t>建立尾翼造型</t>
  </si>
  <si>
    <t>01646tc3_3_5_1</t>
  </si>
  <si>
    <t>第四堂</t>
  </si>
  <si>
    <t>拆件與分件設計</t>
  </si>
  <si>
    <t>4_</t>
  </si>
  <si>
    <t>方法一：使用合併繼承功能．分件</t>
  </si>
  <si>
    <t>01646tc3_4_1_1</t>
  </si>
  <si>
    <t>方法二：使用多主體功能．分件</t>
  </si>
  <si>
    <t>01646tc3_4_2_1</t>
  </si>
  <si>
    <t>第五堂</t>
  </si>
  <si>
    <t>下蓋結構設計</t>
  </si>
  <si>
    <t>5_</t>
  </si>
  <si>
    <t>下蓋組件設計</t>
  </si>
  <si>
    <t>01646tc3_5_1_1</t>
  </si>
  <si>
    <t>電池槽建模</t>
  </si>
  <si>
    <t>01646tc3_5_2_1</t>
  </si>
  <si>
    <t>上下蓋定位與卡扣設計</t>
  </si>
  <si>
    <t>01646tc3_5_3_1</t>
  </si>
  <si>
    <t>第六堂</t>
  </si>
  <si>
    <t>上蓋結構設計</t>
  </si>
  <si>
    <t>6_</t>
  </si>
  <si>
    <t>上蓋內部結構設計與模型完成</t>
  </si>
  <si>
    <t>01646tc3_6_1_1</t>
  </si>
  <si>
    <t>第七堂</t>
  </si>
  <si>
    <t>通過測驗申請證書</t>
  </si>
  <si>
    <t>7_</t>
  </si>
  <si>
    <t>課後測驗</t>
  </si>
  <si>
    <t>題號</t>
  </si>
  <si>
    <t>題目</t>
  </si>
  <si>
    <t>選項 A</t>
  </si>
  <si>
    <t>選項 B</t>
  </si>
  <si>
    <t>選項 C</t>
  </si>
  <si>
    <t>選項 D</t>
  </si>
  <si>
    <t>答案</t>
  </si>
  <si>
    <t>解析</t>
  </si>
  <si>
    <t>Android Studio 安裝時，要建立模擬器必須勾選哪個元件？</t>
  </si>
  <si>
    <t>Google Play Store</t>
  </si>
  <si>
    <t>Android Virtual Device (AVD)</t>
  </si>
  <si>
    <t>Android SDK Command-line Tools</t>
  </si>
  <si>
    <t>NDK (Native Development Kit)</t>
  </si>
  <si>
    <t>B</t>
  </si>
  <si>
    <t>建立模擬器（Emulator）需在安裝時勾選 Android Virtual Device (AVD)。</t>
  </si>
  <si>
    <t>建立使用 XML 佈局的 Android 專案時，應選擇哪種 Activity 樣板？</t>
  </si>
  <si>
    <t>Empty Activity (Jetpack Compose)</t>
  </si>
  <si>
    <t>Basic Views Activity</t>
  </si>
  <si>
    <t>Empty Views Activity</t>
  </si>
  <si>
    <t>Navigation Drawer Activity</t>
  </si>
  <si>
    <t>C</t>
  </si>
  <si>
    <t>Empty Views Activity 使用傳統 XML 佈局；Empty Activity 預設 Jetpack Compose。</t>
  </si>
  <si>
    <t>XML 中要讓元件寬度「填滿父容器」，應設為哪個值？</t>
  </si>
  <si>
    <t>wrap_content</t>
  </si>
  <si>
    <t>fill_parent</t>
  </si>
  <si>
    <t>match_content</t>
  </si>
  <si>
    <t>match_parent</t>
  </si>
  <si>
    <t>D</t>
  </si>
  <si>
    <t>match_parent 使元件與父容器等寬（等高）；wrap_content 僅包住內容大小。</t>
  </si>
  <si>
    <t>Android 中文字大小應使用哪種單位，以跟隨系統字型縮放設定？</t>
  </si>
  <si>
    <t>px</t>
  </si>
  <si>
    <t>dp</t>
  </si>
  <si>
    <t>sp</t>
  </si>
  <si>
    <t>pt</t>
  </si>
  <si>
    <t>sp（Scale-independent Pixels）依系統字型偏好縮放，適合文字；排版尺寸用 dp。</t>
  </si>
  <si>
    <t>在 activity_main.xml 寫了 android:id="@+id/btnSubmit"，Java 中取得該元件的寫法為何？</t>
  </si>
  <si>
    <t>getViewById("btnSubmit")</t>
  </si>
  <si>
    <t>R.layout.btnSubmit</t>
  </si>
  <si>
    <t>findViewById(R.id.btnSubmit)</t>
  </si>
  <si>
    <t>View.findById("btnSubmit")</t>
  </si>
  <si>
    <t>R.id.btnSubmit 是由 @+id/btnSubmit 自動產生的整數資源 ID，透過 findViewById 取得對應 View。</t>
  </si>
  <si>
    <t>MainActivity 應繼承哪個基底類別？</t>
  </si>
  <si>
    <t>Activity</t>
  </si>
  <si>
    <t>AppCompatActivity</t>
  </si>
  <si>
    <t>FragmentActivity</t>
  </si>
  <si>
    <t>ViewGroup</t>
  </si>
  <si>
    <t>AppCompatActivity 提供向下相容支援，是 Empty Views Activity 樣板的預設基底類別。</t>
  </si>
  <si>
    <t>在 onCreate() 中，告知系統要使用哪支 XML 佈局的方法為何？</t>
  </si>
  <si>
    <t>loadLayout(R.layout.activity_main)</t>
  </si>
  <si>
    <t>setContentView(R.layout.activity_main)</t>
  </si>
  <si>
    <t>inflate(R.layout.activity_main)</t>
  </si>
  <si>
    <t>attachLayout(R.layout.activity_main)</t>
  </si>
  <si>
    <t>setContentView() 將指定的 XML 佈局載入為 Activity 的畫面。</t>
  </si>
  <si>
    <t>etInput.getText() 的回傳型別是什麼？需要如何轉成 String？</t>
  </si>
  <si>
    <t>直接回傳 String，不需轉換</t>
  </si>
  <si>
    <t>回傳 Editable，需呼叫 .toString()</t>
  </si>
  <si>
    <t>回傳 CharSequence，需強制轉型 (String)</t>
  </si>
  <si>
    <t>回傳 int，需 String.valueOf()</t>
  </si>
  <si>
    <t>EditText.getText() 回傳 Editable 物件，必須呼叫 .toString() 才能得到 String。</t>
  </si>
  <si>
    <t>以下 Toast 程式碼何者正確，且訊息「會」顯示在畫面上？</t>
  </si>
  <si>
    <t>Toast.makeText(this, "訊息", Toast.LENGTH_SHORT);</t>
  </si>
  <si>
    <t>new Toast(this).show("訊息");</t>
  </si>
  <si>
    <t>Toast.makeText(this, "訊息", Toast.LENGTH_SHORT).show();</t>
  </si>
  <si>
    <t>Toast.show(this, "訊息");</t>
  </si>
  <si>
    <t>makeText() 建立 Toast 物件後，必須呼叫 .show() 才會實際顯示。</t>
  </si>
  <si>
    <t>Log.d("TAG", "訊息") 中第一個參數 TAG 的主要用途為何？</t>
  </si>
  <si>
    <t>決定訊息的顯示顏色</t>
  </si>
  <si>
    <t>設定 Log 儲存的檔案路徑</t>
  </si>
  <si>
    <t>在 Logcat 中作為過濾關鍵字</t>
  </si>
  <si>
    <t>設定 Log 訊息的優先等級</t>
  </si>
  <si>
    <t>TAG 是字串標籤，在 Logcat 搜尋框輸入 TAG 即可篩選特定元件的訊息。</t>
  </si>
  <si>
    <t>下列哪個監聽器介面因有「多個抽象方法」，所以「不能」用 lambda 縮寫？</t>
  </si>
  <si>
    <t>View.OnClickListener</t>
  </si>
  <si>
    <t>RatingBar.OnRatingBarChangeListener</t>
  </si>
  <si>
    <t>SeekBar.OnSeekBarChangeListener</t>
  </si>
  <si>
    <t>CompoundButton.OnCheckedChangeListener</t>
  </si>
  <si>
    <t>SeekBar.OnSeekBarChangeListener 有三個方法（onProgressChanged、onStartTrackingTouch、onStopTrackingTouch），非單一抽象方法介面，不能用 lambda。</t>
  </si>
  <si>
    <t>要為 Spinner 提供選項資料，需要使用哪種物件作為橋樑？</t>
  </si>
  <si>
    <t>SpinnerModel</t>
  </si>
  <si>
    <t>ArrayAdapter</t>
  </si>
  <si>
    <t>DataSource</t>
  </si>
  <si>
    <t>ListAdapter</t>
  </si>
  <si>
    <t>ArrayAdapter 是 Adapter 的常見子類別，負責將資料（如 List&lt;String&gt;）橋接給 Spinner 顯示。</t>
  </si>
  <si>
    <t>getRating() 取得 RatingBar 的評分值，回傳的型別為何？</t>
  </si>
  <si>
    <t>int</t>
  </si>
  <si>
    <t>double</t>
  </si>
  <si>
    <t>float</t>
  </si>
  <si>
    <t>String</t>
  </si>
  <si>
    <t>RatingBar.getRating() 回傳 float，因為評分可包含半顆星（如 3.5f）。</t>
  </si>
  <si>
    <t>LinearLayout 設定子元件由上到下垂直排列，應使用哪個 XML 屬性值？</t>
  </si>
  <si>
    <t>android:layout="vertical"</t>
  </si>
  <si>
    <t>android:orientation="vertical"</t>
  </si>
  <si>
    <t>android:direction="top"</t>
  </si>
  <si>
    <t>android:flow="vertical"</t>
  </si>
  <si>
    <t>android:orientation="vertical" 使子元件由上到下排列；horizontal 則由左到右。</t>
  </si>
  <si>
    <t>Android 畫面跳轉（啟動新 Activity）要使用哪個類別？</t>
  </si>
  <si>
    <t>Navigator</t>
  </si>
  <si>
    <t>PageController</t>
  </si>
  <si>
    <t>ActivityManager</t>
  </si>
  <si>
    <t>Intent</t>
  </si>
  <si>
    <t>Intent 描述「想去哪、帶什麼資料」，再透過 startActivity(intent) 請系統開啟目標 Activity。</t>
  </si>
  <si>
    <t>＊請老師填寫黃色欄位(下方僅是範例，可自行更改內容)</t>
  </si>
  <si>
    <t>OS</t>
  </si>
  <si>
    <t>每格字數限制500字以內</t>
  </si>
  <si>
    <t>欄位沒有的也要填無或NA</t>
  </si>
  <si>
    <t>CPU &amp; GPU</t>
  </si>
  <si>
    <t>基礎配備：Intel Core i5（第 8 代以上）或 AMD Ryzen 5 同等級，雙核心以上，x86_64 架構，
           需支援硬體虛擬化（Intel VT-x / AMD-V）以執行 Android 模擬器（AVD）
最佳配備：Intel Core i7（第 10 代以上）或 AMD Ryzen 7 同等級，四核心（8 執行緒）以上；
           Apple Silicon（M1 / M2 / M3）亦完整支援 ARM 模擬器，效能最佳</t>
  </si>
  <si>
    <t>RAM</t>
  </si>
  <si>
    <t>顯示卡</t>
  </si>
  <si>
    <t>基礎配備：解析度 1280×800 以上，支援 OpenGL ES 2.0 之內建或獨立顯示卡
最佳配備：解析度 1920×1080 以上；獨立顯示卡（NVIDIA GTX 1050 / AMD RX 560 或以上），
           可顯著提升 Android 模擬器的畫面流暢度</t>
  </si>
  <si>
    <t>軟體版本</t>
  </si>
  <si>
    <t>Android Studio Meerkat（2024.3.x）或更新版本（免費官方 IDE）
JDK：Android Studio 內建 OpenJDK 21（無需另外安裝）
Android SDK：API Level 34（Android 14）教材目標版本
Minimum SDK：API Level 24（Android 7.0）</t>
  </si>
  <si>
    <t>課程需要安裝軟體，請附上軟體名與版本</t>
  </si>
  <si>
    <t>額外軟體</t>
  </si>
  <si>
    <t>無</t>
  </si>
  <si>
    <t>建議學生取得方式</t>
  </si>
  <si>
    <t>Android Studio（免費）官方下載：https://developer.android.com/studio
選擇對應作業系統版本（Windows .exe / macOS .dmg / Linux .tar.gz）下載後直接安裝</t>
  </si>
  <si>
    <t>課程需要安裝軟體，請附上試用版(付費軟體)或免費版(免付費軟體)下載位址</t>
  </si>
  <si>
    <t>網址在官網會自動設為連結
 提醒：網址最後一定要跟下一個文字空格或斷行，不然網頁顯示會有問題</t>
  </si>
  <si>
    <t>安裝說明</t>
  </si>
  <si>
    <t>若有安裝說明、安裝限制，請老師提供雲端位址貼入
 提供安裝說明：https://drive.google.com/open?id=1_VWhndHRkQlO7YiD-Q9RrnTaHPqtj2AW
 若沒有請填無</t>
  </si>
  <si>
    <t>若有安裝說明可請老師提供雲端連結位址，並貼入網址，網址在官網會自動設為連結</t>
  </si>
  <si>
    <t>上課工具</t>
  </si>
  <si>
    <t>例如:繪圖板</t>
  </si>
  <si>
    <t>* 有些資訊是依照老師之前提供的課綱填寫，老師皆可調整和補充
* 若老師有任何問題都能透過Line進行討論</t>
  </si>
  <si>
    <t>No</t>
  </si>
  <si>
    <t xml:space="preserve">Question </t>
  </si>
  <si>
    <t>Answer</t>
  </si>
  <si>
    <t>教學內容</t>
  </si>
  <si>
    <t>課程目標（這部份需請老師補充）</t>
  </si>
  <si>
    <t>適合學習對象為何？須具備什麼先備知識？</t>
  </si>
  <si>
    <t>請說明課程特色，3點即可，希望能是具體且特別的主推特色。</t>
  </si>
  <si>
    <t>說明學前、學後的變化</t>
  </si>
  <si>
    <t>學完後可獲得什麼樣的專案作品</t>
  </si>
  <si>
    <t>可從事什麼相關產業別？相關產界對這項技能的重視程度為何?</t>
  </si>
  <si>
    <t>有沒有進階學習，或與其他東西結合的機會？</t>
  </si>
  <si>
    <t>講師經歷（此為之前資料，再請老師查看是否要更新）</t>
  </si>
  <si>
    <t xml:space="preserve">張庭禎老師
．巨匠電腦通路講師
．育碁數位科技技術總監
．第三波資訊教學經理
．資策會資深專任講師 
．Microsoft Tech ED講師
張庭禎老師致力於電腦教學已有20年，過去曾從事人力資源管理系統及eLearning軟體開發相關職務，積累了管理軟體專案的深厚經驗，並且相當熟悉微軟及Java相關技術的開發。
</t>
  </si>
  <si>
    <t>簡單說明各單元的學習重點</t>
  </si>
  <si>
    <r>
      <rPr>
        <sz val="10"/>
        <color rgb="FF000000"/>
        <rFont val="細明體"/>
        <family val="3"/>
        <charset val="136"/>
      </rPr>
      <t>基礎配備：</t>
    </r>
    <r>
      <rPr>
        <sz val="10"/>
        <color rgb="FF000000"/>
        <rFont val="Arial"/>
        <family val="2"/>
      </rPr>
      <t>Windows 10 64-bit</t>
    </r>
    <r>
      <rPr>
        <sz val="10"/>
        <color rgb="FF000000"/>
        <rFont val="細明體"/>
        <family val="3"/>
        <charset val="136"/>
      </rPr>
      <t>（版本</t>
    </r>
    <r>
      <rPr>
        <sz val="10"/>
        <color rgb="FF000000"/>
        <rFont val="Arial"/>
        <family val="2"/>
      </rPr>
      <t xml:space="preserve"> 1903 </t>
    </r>
    <r>
      <rPr>
        <sz val="10"/>
        <color rgb="FF000000"/>
        <rFont val="細明體"/>
        <family val="3"/>
        <charset val="136"/>
      </rPr>
      <t>以上）</t>
    </r>
    <r>
      <rPr>
        <sz val="10"/>
        <color rgb="FF000000"/>
        <rFont val="Arial"/>
        <family val="2"/>
      </rPr>
      <t xml:space="preserve">/ macOS 10.14 Mojave </t>
    </r>
    <r>
      <rPr>
        <sz val="10"/>
        <color rgb="FF000000"/>
        <rFont val="細明體"/>
        <family val="3"/>
        <charset val="136"/>
      </rPr>
      <t>以上</t>
    </r>
    <r>
      <rPr>
        <sz val="10"/>
        <color rgb="FF000000"/>
        <rFont val="Arial"/>
        <family val="2"/>
      </rPr>
      <t xml:space="preserve"> / Ubuntu 20.04 LTS 64-bit
</t>
    </r>
    <r>
      <rPr>
        <sz val="10"/>
        <color rgb="FF000000"/>
        <rFont val="細明體"/>
        <family val="3"/>
        <charset val="136"/>
      </rPr>
      <t>最佳配備：</t>
    </r>
    <r>
      <rPr>
        <sz val="10"/>
        <color rgb="FF000000"/>
        <rFont val="Arial"/>
        <family val="2"/>
      </rPr>
      <t xml:space="preserve">Windows 11 64-bit / macOS 13 Ventura </t>
    </r>
    <r>
      <rPr>
        <sz val="10"/>
        <color rgb="FF000000"/>
        <rFont val="細明體"/>
        <family val="3"/>
        <charset val="136"/>
      </rPr>
      <t>以上</t>
    </r>
    <r>
      <rPr>
        <sz val="10"/>
        <color rgb="FF000000"/>
        <rFont val="Arial"/>
        <family val="2"/>
      </rPr>
      <t xml:space="preserve"> / Ubuntu 22.04 LTS 64-bit</t>
    </r>
    <phoneticPr fontId="10" type="noConversion"/>
  </si>
  <si>
    <r>
      <rPr>
        <sz val="10"/>
        <color rgb="FF000000"/>
        <rFont val="細明體"/>
        <family val="3"/>
        <charset val="136"/>
      </rPr>
      <t>基礎配備：</t>
    </r>
    <r>
      <rPr>
        <sz val="10"/>
        <color rgb="FF000000"/>
        <rFont val="Arial"/>
        <family val="2"/>
      </rPr>
      <t xml:space="preserve">16 GB RAM
</t>
    </r>
    <r>
      <rPr>
        <sz val="10"/>
        <color rgb="FF000000"/>
        <rFont val="細明體"/>
        <family val="3"/>
        <charset val="136"/>
      </rPr>
      <t>最佳配備：</t>
    </r>
    <r>
      <rPr>
        <sz val="10"/>
        <color rgb="FF000000"/>
        <rFont val="Arial"/>
        <family val="2"/>
      </rPr>
      <t xml:space="preserve">32 GB RAM </t>
    </r>
    <r>
      <rPr>
        <sz val="10"/>
        <color rgb="FF000000"/>
        <rFont val="細明體"/>
        <family val="3"/>
        <charset val="136"/>
      </rPr>
      <t>以上（同時執行</t>
    </r>
    <r>
      <rPr>
        <sz val="10"/>
        <color rgb="FF000000"/>
        <rFont val="Arial"/>
        <family val="2"/>
      </rPr>
      <t xml:space="preserve"> Android Studio + </t>
    </r>
    <r>
      <rPr>
        <sz val="10"/>
        <color rgb="FF000000"/>
        <rFont val="細明體"/>
        <family val="3"/>
        <charset val="136"/>
      </rPr>
      <t>模擬器</t>
    </r>
    <r>
      <rPr>
        <sz val="10"/>
        <color rgb="FF000000"/>
        <rFont val="Arial"/>
        <family val="2"/>
      </rPr>
      <t xml:space="preserve"> + </t>
    </r>
    <r>
      <rPr>
        <sz val="10"/>
        <color rgb="FF000000"/>
        <rFont val="細明體"/>
        <family val="3"/>
        <charset val="136"/>
      </rPr>
      <t>瀏覽器時，</t>
    </r>
    <r>
      <rPr>
        <sz val="10"/>
        <color rgb="FF000000"/>
        <rFont val="Arial"/>
        <family val="2"/>
      </rPr>
      <t xml:space="preserve">32 GB </t>
    </r>
    <r>
      <rPr>
        <sz val="10"/>
        <color rgb="FF000000"/>
        <rFont val="細明體"/>
        <family val="3"/>
        <charset val="136"/>
      </rPr>
      <t>可大幅減少卡頓）</t>
    </r>
    <phoneticPr fontId="10" type="noConversion"/>
  </si>
  <si>
    <r>
      <t>Android</t>
    </r>
    <r>
      <rPr>
        <sz val="10"/>
        <color theme="1"/>
        <rFont val="細明體"/>
        <family val="3"/>
        <charset val="136"/>
      </rPr>
      <t>（</t>
    </r>
    <r>
      <rPr>
        <sz val="10"/>
        <color theme="1"/>
        <rFont val="Arial"/>
        <family val="2"/>
      </rPr>
      <t>Java + XML</t>
    </r>
    <r>
      <rPr>
        <sz val="10"/>
        <color theme="1"/>
        <rFont val="細明體"/>
        <family val="3"/>
        <charset val="136"/>
      </rPr>
      <t>）基礎入門</t>
    </r>
    <r>
      <rPr>
        <sz val="10"/>
        <color theme="1"/>
        <rFont val="Arial"/>
        <family val="2"/>
      </rPr>
      <t xml:space="preserve"> + AI </t>
    </r>
    <r>
      <rPr>
        <sz val="10"/>
        <color theme="1"/>
        <rFont val="細明體"/>
        <family val="3"/>
        <charset val="136"/>
      </rPr>
      <t>互動指南</t>
    </r>
    <phoneticPr fontId="10" type="noConversion"/>
  </si>
  <si>
    <r>
      <rPr>
        <sz val="10"/>
        <color theme="1"/>
        <rFont val="細明體"/>
        <family val="3"/>
        <charset val="136"/>
      </rPr>
      <t>第</t>
    </r>
    <r>
      <rPr>
        <sz val="10"/>
        <color theme="1"/>
        <rFont val="Arial"/>
      </rPr>
      <t xml:space="preserve"> 1 </t>
    </r>
    <r>
      <rPr>
        <sz val="10"/>
        <color theme="1"/>
        <rFont val="細明體"/>
        <family val="3"/>
        <charset val="136"/>
      </rPr>
      <t>章　安裝環境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細明體"/>
        <family val="3"/>
        <charset val="136"/>
      </rPr>
      <t/>
    </r>
    <phoneticPr fontId="10" type="noConversion"/>
  </si>
  <si>
    <t>00:03:09
00:03:08</t>
    <phoneticPr fontId="10" type="noConversion"/>
  </si>
  <si>
    <r>
      <t xml:space="preserve">2 </t>
    </r>
    <r>
      <rPr>
        <sz val="10"/>
        <color theme="1"/>
        <rFont val="細明體"/>
        <family val="3"/>
        <charset val="136"/>
      </rPr>
      <t>個</t>
    </r>
    <phoneticPr fontId="10" type="noConversion"/>
  </si>
  <si>
    <r>
      <rPr>
        <sz val="10"/>
        <color theme="1"/>
        <rFont val="細明體"/>
        <family val="3"/>
        <charset val="136"/>
      </rPr>
      <t>第</t>
    </r>
    <r>
      <rPr>
        <sz val="10"/>
        <color theme="1"/>
        <rFont val="Arial"/>
      </rPr>
      <t xml:space="preserve"> 2 </t>
    </r>
    <r>
      <rPr>
        <sz val="10"/>
        <color theme="1"/>
        <rFont val="細明體"/>
        <family val="3"/>
        <charset val="136"/>
      </rPr>
      <t>章　建立第一個專案</t>
    </r>
    <phoneticPr fontId="10" type="noConversion"/>
  </si>
  <si>
    <r>
      <t xml:space="preserve">1 </t>
    </r>
    <r>
      <rPr>
        <sz val="10"/>
        <color theme="1"/>
        <rFont val="細明體"/>
        <family val="3"/>
        <charset val="136"/>
      </rPr>
      <t>個</t>
    </r>
    <phoneticPr fontId="10" type="noConversion"/>
  </si>
  <si>
    <t>Rec 09-14-26-3.avi</t>
    <phoneticPr fontId="10" type="noConversion"/>
  </si>
  <si>
    <r>
      <t xml:space="preserve">Rec 09-14-26-1.avi
</t>
    </r>
    <r>
      <rPr>
        <sz val="10"/>
        <color theme="1"/>
        <rFont val="Arial"/>
        <family val="2"/>
      </rPr>
      <t>Rec 09-14-26-2.avi</t>
    </r>
    <phoneticPr fontId="10" type="noConversion"/>
  </si>
  <si>
    <t>Rec 09-14-26-4.avi</t>
  </si>
  <si>
    <t>AI 動手做</t>
    <phoneticPr fontId="10" type="noConversion"/>
  </si>
  <si>
    <r>
      <t>1</t>
    </r>
    <r>
      <rPr>
        <sz val="10"/>
        <color theme="1"/>
        <rFont val="Arial"/>
        <family val="2"/>
      </rPr>
      <t>_</t>
    </r>
    <phoneticPr fontId="10" type="noConversion"/>
  </si>
  <si>
    <t>Rec 09-16-26-1.avi</t>
    <phoneticPr fontId="10" type="noConversion"/>
  </si>
  <si>
    <t>Rec 09-16-26-2.avi</t>
    <phoneticPr fontId="10" type="noConversion"/>
  </si>
  <si>
    <r>
      <rPr>
        <sz val="10"/>
        <color theme="1"/>
        <rFont val="細明體"/>
        <family val="3"/>
        <charset val="136"/>
      </rPr>
      <t>第</t>
    </r>
    <r>
      <rPr>
        <sz val="10"/>
        <color theme="1"/>
        <rFont val="Arial"/>
      </rPr>
      <t xml:space="preserve"> 3 </t>
    </r>
    <r>
      <rPr>
        <sz val="10"/>
        <color theme="1"/>
        <rFont val="細明體"/>
        <family val="3"/>
        <charset val="136"/>
      </rPr>
      <t>章　</t>
    </r>
    <r>
      <rPr>
        <sz val="10"/>
        <color theme="1"/>
        <rFont val="Arial"/>
      </rPr>
      <t xml:space="preserve">Android </t>
    </r>
    <r>
      <rPr>
        <sz val="10"/>
        <color theme="1"/>
        <rFont val="細明體"/>
        <family val="3"/>
        <charset val="136"/>
      </rPr>
      <t>專案結構
第</t>
    </r>
    <r>
      <rPr>
        <sz val="10"/>
        <color theme="1"/>
        <rFont val="Arial"/>
        <family val="2"/>
      </rPr>
      <t xml:space="preserve"> 4 </t>
    </r>
    <r>
      <rPr>
        <sz val="10"/>
        <color theme="1"/>
        <rFont val="細明體"/>
        <family val="3"/>
        <charset val="136"/>
      </rPr>
      <t>章　第一個畫面：</t>
    </r>
    <r>
      <rPr>
        <sz val="10"/>
        <color theme="1"/>
        <rFont val="Arial"/>
        <family val="2"/>
      </rPr>
      <t>activity_main.xml</t>
    </r>
    <phoneticPr fontId="10" type="noConversion"/>
  </si>
  <si>
    <r>
      <rPr>
        <sz val="10"/>
        <color theme="1"/>
        <rFont val="細明體"/>
        <family val="3"/>
        <charset val="136"/>
      </rPr>
      <t>第</t>
    </r>
    <r>
      <rPr>
        <sz val="10"/>
        <color theme="1"/>
        <rFont val="Arial"/>
      </rPr>
      <t xml:space="preserve"> 4 </t>
    </r>
    <r>
      <rPr>
        <sz val="10"/>
        <color theme="1"/>
        <rFont val="細明體"/>
        <family val="3"/>
        <charset val="136"/>
      </rPr>
      <t>章　第一個畫面：</t>
    </r>
    <r>
      <rPr>
        <sz val="10"/>
        <color theme="1"/>
        <rFont val="Arial"/>
      </rPr>
      <t xml:space="preserve">activity_main.xml
</t>
    </r>
    <r>
      <rPr>
        <sz val="10"/>
        <color theme="1"/>
        <rFont val="Arial"/>
        <family val="2"/>
      </rPr>
      <t xml:space="preserve">AI </t>
    </r>
    <r>
      <rPr>
        <sz val="10"/>
        <color theme="1"/>
        <rFont val="細明體"/>
        <family val="3"/>
        <charset val="136"/>
      </rPr>
      <t>動手做｜只產生</t>
    </r>
    <r>
      <rPr>
        <sz val="10"/>
        <color theme="1"/>
        <rFont val="Arial"/>
        <family val="2"/>
      </rPr>
      <t xml:space="preserve"> XML </t>
    </r>
    <r>
      <rPr>
        <sz val="10"/>
        <color theme="1"/>
        <rFont val="細明體"/>
        <family val="3"/>
        <charset val="136"/>
      </rPr>
      <t>佈局</t>
    </r>
    <phoneticPr fontId="10" type="noConversion"/>
  </si>
  <si>
    <r>
      <rPr>
        <sz val="10"/>
        <color theme="1"/>
        <rFont val="細明體"/>
        <family val="3"/>
        <charset val="136"/>
      </rPr>
      <t>第</t>
    </r>
    <r>
      <rPr>
        <sz val="10"/>
        <color theme="1"/>
        <rFont val="Arial"/>
      </rPr>
      <t xml:space="preserve"> 5 </t>
    </r>
    <r>
      <rPr>
        <sz val="10"/>
        <color theme="1"/>
        <rFont val="細明體"/>
        <family val="3"/>
        <charset val="136"/>
      </rPr>
      <t>章　綁定元件與事件（</t>
    </r>
    <r>
      <rPr>
        <sz val="10"/>
        <color theme="1"/>
        <rFont val="Arial"/>
      </rPr>
      <t>MainActivity.java</t>
    </r>
    <r>
      <rPr>
        <sz val="10"/>
        <color theme="1"/>
        <rFont val="細明體"/>
        <family val="3"/>
        <charset val="136"/>
      </rPr>
      <t>）</t>
    </r>
    <phoneticPr fontId="10" type="noConversion"/>
  </si>
  <si>
    <t>Rec 09-16-26-3.avi</t>
    <phoneticPr fontId="10" type="noConversion"/>
  </si>
  <si>
    <r>
      <t xml:space="preserve">MainActivity </t>
    </r>
    <r>
      <rPr>
        <sz val="10"/>
        <color theme="1"/>
        <rFont val="細明體"/>
        <family val="3"/>
        <charset val="136"/>
      </rPr>
      <t xml:space="preserve">程式說明
</t>
    </r>
    <r>
      <rPr>
        <sz val="10"/>
        <color theme="1"/>
        <rFont val="Arial"/>
        <family val="2"/>
      </rPr>
      <t xml:space="preserve">AI </t>
    </r>
    <r>
      <rPr>
        <sz val="10"/>
        <color theme="1"/>
        <rFont val="細明體"/>
        <family val="3"/>
        <charset val="136"/>
      </rPr>
      <t>動手做｜產生第一個畫面程式</t>
    </r>
    <phoneticPr fontId="10" type="noConversion"/>
  </si>
  <si>
    <t>Rec 09-16-26-4.avi</t>
    <phoneticPr fontId="10" type="noConversion"/>
  </si>
  <si>
    <t>Rec 09-16-26-5.avi</t>
    <phoneticPr fontId="10" type="noConversion"/>
  </si>
  <si>
    <t>Rec 09-21-26-1.avi</t>
    <phoneticPr fontId="10" type="noConversion"/>
  </si>
  <si>
    <r>
      <rPr>
        <sz val="10"/>
        <color theme="1"/>
        <rFont val="細明體"/>
        <family val="3"/>
        <charset val="136"/>
      </rPr>
      <t>第</t>
    </r>
    <r>
      <rPr>
        <sz val="10"/>
        <color theme="1"/>
        <rFont val="Arial"/>
      </rPr>
      <t xml:space="preserve"> 6 </t>
    </r>
    <r>
      <rPr>
        <sz val="10"/>
        <color theme="1"/>
        <rFont val="細明體"/>
        <family val="3"/>
        <charset val="136"/>
      </rPr>
      <t>章　</t>
    </r>
    <r>
      <rPr>
        <sz val="10"/>
        <color theme="1"/>
        <rFont val="Arial"/>
      </rPr>
      <t xml:space="preserve">Toast </t>
    </r>
    <r>
      <rPr>
        <sz val="10"/>
        <color theme="1"/>
        <rFont val="細明體"/>
        <family val="3"/>
        <charset val="136"/>
      </rPr>
      <t>與</t>
    </r>
    <r>
      <rPr>
        <sz val="10"/>
        <color theme="1"/>
        <rFont val="Arial"/>
      </rPr>
      <t xml:space="preserve"> Log</t>
    </r>
    <phoneticPr fontId="10" type="noConversion"/>
  </si>
  <si>
    <r>
      <rPr>
        <sz val="10"/>
        <color theme="1"/>
        <rFont val="細明體"/>
        <family val="3"/>
        <charset val="136"/>
      </rPr>
      <t>事件處理：</t>
    </r>
    <r>
      <rPr>
        <sz val="10"/>
        <color theme="1"/>
        <rFont val="Arial"/>
      </rPr>
      <t xml:space="preserve">lambda </t>
    </r>
    <r>
      <rPr>
        <sz val="10"/>
        <color theme="1"/>
        <rFont val="細明體"/>
        <family val="3"/>
        <charset val="136"/>
      </rPr>
      <t xml:space="preserve">與傳統對照
</t>
    </r>
    <r>
      <rPr>
        <sz val="10"/>
        <color theme="1"/>
        <rFont val="Arial"/>
        <family val="2"/>
      </rPr>
      <t xml:space="preserve">AI </t>
    </r>
    <r>
      <rPr>
        <sz val="10"/>
        <color theme="1"/>
        <rFont val="細明體"/>
        <family val="3"/>
        <charset val="136"/>
      </rPr>
      <t>動手做</t>
    </r>
    <phoneticPr fontId="10" type="noConversion"/>
  </si>
  <si>
    <t>8_</t>
    <phoneticPr fontId="10" type="noConversion"/>
  </si>
  <si>
    <t>9_</t>
    <phoneticPr fontId="10" type="noConversion"/>
  </si>
  <si>
    <t>Rec 09-21-26-2.avi</t>
    <phoneticPr fontId="10" type="noConversion"/>
  </si>
  <si>
    <r>
      <t>1</t>
    </r>
    <r>
      <rPr>
        <sz val="10"/>
        <color theme="1"/>
        <rFont val="Arial"/>
        <family val="2"/>
      </rPr>
      <t>0</t>
    </r>
    <r>
      <rPr>
        <sz val="10"/>
        <color theme="1"/>
        <rFont val="Arial"/>
      </rPr>
      <t>_</t>
    </r>
    <phoneticPr fontId="10" type="noConversion"/>
  </si>
  <si>
    <r>
      <t>1</t>
    </r>
    <r>
      <rPr>
        <sz val="10"/>
        <color theme="1"/>
        <rFont val="Arial"/>
        <family val="2"/>
      </rPr>
      <t>1</t>
    </r>
    <r>
      <rPr>
        <sz val="10"/>
        <color theme="1"/>
        <rFont val="Arial"/>
      </rPr>
      <t>_</t>
    </r>
    <phoneticPr fontId="10" type="noConversion"/>
  </si>
  <si>
    <t>Rec 09-23-26-1.avi</t>
    <phoneticPr fontId="10" type="noConversion"/>
  </si>
  <si>
    <t>Rec 09-23-26-2.avi</t>
    <phoneticPr fontId="10" type="noConversion"/>
  </si>
  <si>
    <t>Rec 09-23-26-3.avi</t>
    <phoneticPr fontId="10" type="noConversion"/>
  </si>
  <si>
    <t>第八堂</t>
    <phoneticPr fontId="10" type="noConversion"/>
  </si>
  <si>
    <t>第九堂</t>
    <phoneticPr fontId="10" type="noConversion"/>
  </si>
  <si>
    <t>第十堂</t>
    <phoneticPr fontId="10" type="noConversion"/>
  </si>
  <si>
    <t>第十一堂</t>
    <phoneticPr fontId="10" type="noConversion"/>
  </si>
  <si>
    <t>第十二堂</t>
    <phoneticPr fontId="10" type="noConversion"/>
  </si>
  <si>
    <t>第十三堂</t>
    <phoneticPr fontId="10" type="noConversion"/>
  </si>
  <si>
    <t>第十四堂</t>
    <phoneticPr fontId="10" type="noConversion"/>
  </si>
  <si>
    <r>
      <t>12</t>
    </r>
    <r>
      <rPr>
        <sz val="10"/>
        <color theme="1"/>
        <rFont val="Arial"/>
      </rPr>
      <t>_</t>
    </r>
    <phoneticPr fontId="10" type="noConversion"/>
  </si>
  <si>
    <r>
      <t>13</t>
    </r>
    <r>
      <rPr>
        <sz val="10"/>
        <color theme="1"/>
        <rFont val="Arial"/>
      </rPr>
      <t>_</t>
    </r>
    <phoneticPr fontId="10" type="noConversion"/>
  </si>
  <si>
    <r>
      <t>14</t>
    </r>
    <r>
      <rPr>
        <sz val="10"/>
        <color theme="1"/>
        <rFont val="Arial"/>
      </rPr>
      <t>_</t>
    </r>
    <phoneticPr fontId="10" type="noConversion"/>
  </si>
  <si>
    <t>Rec 09-23-26-4.avi</t>
    <phoneticPr fontId="10" type="noConversion"/>
  </si>
  <si>
    <t>Rec 09-23-26-5.avi</t>
    <phoneticPr fontId="10" type="noConversion"/>
  </si>
  <si>
    <t>Rec 09-23-26-6.avi</t>
    <phoneticPr fontId="10" type="noConversion"/>
  </si>
  <si>
    <r>
      <t xml:space="preserve">1. </t>
    </r>
    <r>
      <rPr>
        <sz val="10"/>
        <color theme="1"/>
        <rFont val="Arial"/>
        <family val="3"/>
        <charset val="136"/>
        <scheme val="minor"/>
      </rPr>
      <t>以</t>
    </r>
    <r>
      <rPr>
        <sz val="10"/>
        <color theme="1"/>
        <rFont val="Arial"/>
        <family val="2"/>
        <scheme val="minor"/>
      </rPr>
      <t xml:space="preserve">Java JFrame </t>
    </r>
    <r>
      <rPr>
        <sz val="10"/>
        <color theme="1"/>
        <rFont val="Arial"/>
        <family val="3"/>
        <charset val="136"/>
        <scheme val="minor"/>
      </rPr>
      <t>視窗基礎學習</t>
    </r>
    <r>
      <rPr>
        <sz val="10"/>
        <color theme="1"/>
        <rFont val="Arial"/>
        <family val="2"/>
        <scheme val="minor"/>
      </rPr>
      <t>Android</t>
    </r>
    <r>
      <rPr>
        <sz val="10"/>
        <color theme="1"/>
        <rFont val="Arial"/>
        <family val="3"/>
        <charset val="136"/>
        <scheme val="minor"/>
      </rPr>
      <t xml:space="preserve">程式開發
</t>
    </r>
    <r>
      <rPr>
        <sz val="10"/>
        <color theme="1"/>
        <rFont val="Arial"/>
        <family val="2"/>
        <scheme val="minor"/>
      </rPr>
      <t xml:space="preserve">2. </t>
    </r>
    <r>
      <rPr>
        <sz val="10"/>
        <color theme="1"/>
        <rFont val="Arial"/>
        <family val="3"/>
        <charset val="136"/>
        <scheme val="minor"/>
      </rPr>
      <t>學習</t>
    </r>
    <r>
      <rPr>
        <sz val="10"/>
        <color theme="1"/>
        <rFont val="Arial"/>
        <family val="2"/>
        <scheme val="minor"/>
      </rPr>
      <t xml:space="preserve">Lambda </t>
    </r>
    <r>
      <rPr>
        <sz val="10"/>
        <color theme="1"/>
        <rFont val="Arial"/>
        <family val="3"/>
        <charset val="136"/>
        <scheme val="minor"/>
      </rPr>
      <t>語法在</t>
    </r>
    <r>
      <rPr>
        <sz val="10"/>
        <color theme="1"/>
        <rFont val="Arial"/>
        <family val="2"/>
        <scheme val="minor"/>
      </rPr>
      <t>Andorid</t>
    </r>
    <r>
      <rPr>
        <sz val="10"/>
        <color theme="1"/>
        <rFont val="Arial"/>
        <family val="3"/>
        <charset val="136"/>
        <scheme val="minor"/>
      </rPr>
      <t xml:space="preserve">的應用
</t>
    </r>
    <r>
      <rPr>
        <sz val="10"/>
        <color theme="1"/>
        <rFont val="Arial"/>
        <family val="2"/>
        <scheme val="minor"/>
      </rPr>
      <t>3. Andorid</t>
    </r>
    <r>
      <rPr>
        <sz val="10"/>
        <color theme="1"/>
        <rFont val="Arial"/>
        <family val="3"/>
        <charset val="136"/>
        <scheme val="minor"/>
      </rPr>
      <t>表單資料傳遞及移動</t>
    </r>
    <phoneticPr fontId="10" type="noConversion"/>
  </si>
  <si>
    <r>
      <t xml:space="preserve"> 6.1 </t>
    </r>
    <r>
      <rPr>
        <sz val="10"/>
        <color theme="1"/>
        <rFont val="細明體"/>
        <family val="3"/>
        <charset val="136"/>
      </rPr>
      <t>互動範例：</t>
    </r>
    <r>
      <rPr>
        <sz val="10"/>
        <color theme="1"/>
        <rFont val="Arial"/>
      </rPr>
      <t xml:space="preserve">Toast </t>
    </r>
    <r>
      <rPr>
        <sz val="10"/>
        <color theme="1"/>
        <rFont val="細明體"/>
        <family val="3"/>
        <charset val="136"/>
      </rPr>
      <t>訊息</t>
    </r>
    <r>
      <rPr>
        <sz val="10"/>
        <color theme="1"/>
        <rFont val="Arial"/>
      </rPr>
      <t xml:space="preserve"> + Log </t>
    </r>
    <r>
      <rPr>
        <sz val="10"/>
        <color theme="1"/>
        <rFont val="細明體"/>
        <family val="3"/>
        <charset val="136"/>
      </rPr>
      <t>日誌展示</t>
    </r>
    <r>
      <rPr>
        <sz val="10"/>
        <color theme="1"/>
        <rFont val="Arial"/>
      </rPr>
      <t xml:space="preserve"> App</t>
    </r>
    <r>
      <rPr>
        <sz val="10"/>
        <color theme="1"/>
        <rFont val="Arial"/>
        <family val="2"/>
      </rPr>
      <t/>
    </r>
    <phoneticPr fontId="10" type="noConversion"/>
  </si>
  <si>
    <r>
      <t xml:space="preserve"> AI </t>
    </r>
    <r>
      <rPr>
        <sz val="10"/>
        <color theme="1"/>
        <rFont val="細明體"/>
        <family val="3"/>
        <charset val="136"/>
      </rPr>
      <t>動手做｜</t>
    </r>
    <r>
      <rPr>
        <sz val="10"/>
        <color theme="1"/>
        <rFont val="Arial"/>
      </rPr>
      <t xml:space="preserve">Toast + Log </t>
    </r>
    <r>
      <rPr>
        <sz val="10"/>
        <color theme="1"/>
        <rFont val="細明體"/>
        <family val="3"/>
        <charset val="136"/>
      </rPr>
      <t>展示</t>
    </r>
    <r>
      <rPr>
        <sz val="10"/>
        <color theme="1"/>
        <rFont val="Arial"/>
      </rPr>
      <t xml:space="preserve"> App</t>
    </r>
    <phoneticPr fontId="10" type="noConversion"/>
  </si>
  <si>
    <r>
      <rPr>
        <sz val="10"/>
        <color theme="1"/>
        <rFont val="細明體"/>
        <family val="3"/>
        <charset val="136"/>
      </rPr>
      <t>第</t>
    </r>
    <r>
      <rPr>
        <sz val="10"/>
        <color theme="1"/>
        <rFont val="Arial"/>
      </rPr>
      <t xml:space="preserve"> 7 </t>
    </r>
    <r>
      <rPr>
        <sz val="10"/>
        <color theme="1"/>
        <rFont val="細明體"/>
        <family val="3"/>
        <charset val="136"/>
      </rPr>
      <t>章　常用</t>
    </r>
    <r>
      <rPr>
        <sz val="10"/>
        <color theme="1"/>
        <rFont val="Arial"/>
      </rPr>
      <t xml:space="preserve"> View </t>
    </r>
    <r>
      <rPr>
        <sz val="10"/>
        <color theme="1"/>
        <rFont val="細明體"/>
        <family val="3"/>
        <charset val="136"/>
      </rPr>
      <t xml:space="preserve">元件
</t>
    </r>
    <r>
      <rPr>
        <sz val="10"/>
        <color theme="1"/>
        <rFont val="Arial"/>
        <family val="2"/>
      </rPr>
      <t>1. `ImageView`</t>
    </r>
    <r>
      <rPr>
        <sz val="10"/>
        <color theme="1"/>
        <rFont val="細明體"/>
        <family val="3"/>
        <charset val="136"/>
      </rPr>
      <t>：「換圖」按鈕在三張圖間切換</t>
    </r>
    <phoneticPr fontId="10" type="noConversion"/>
  </si>
  <si>
    <r>
      <rPr>
        <sz val="10"/>
        <color theme="1"/>
        <rFont val="細明體"/>
        <family val="3"/>
        <charset val="136"/>
      </rPr>
      <t>第</t>
    </r>
    <r>
      <rPr>
        <sz val="10"/>
        <color theme="1"/>
        <rFont val="Arial"/>
      </rPr>
      <t xml:space="preserve"> 7 </t>
    </r>
    <r>
      <rPr>
        <sz val="10"/>
        <color theme="1"/>
        <rFont val="細明體"/>
        <family val="3"/>
        <charset val="136"/>
      </rPr>
      <t>章　常用</t>
    </r>
    <r>
      <rPr>
        <sz val="10"/>
        <color theme="1"/>
        <rFont val="Arial"/>
      </rPr>
      <t xml:space="preserve"> View </t>
    </r>
    <r>
      <rPr>
        <sz val="10"/>
        <color theme="1"/>
        <rFont val="細明體"/>
        <family val="3"/>
        <charset val="136"/>
      </rPr>
      <t xml:space="preserve">元件
</t>
    </r>
    <r>
      <rPr>
        <sz val="10"/>
        <color theme="1"/>
        <rFont val="Arial"/>
        <family val="2"/>
      </rPr>
      <t>2</t>
    </r>
    <r>
      <rPr>
        <sz val="10"/>
        <color theme="1"/>
        <rFont val="Arial"/>
      </rPr>
      <t xml:space="preserve">. </t>
    </r>
    <r>
      <rPr>
        <sz val="10"/>
        <color theme="1"/>
        <rFont val="Arial"/>
        <family val="2"/>
      </rPr>
      <t>`Spinner`</t>
    </r>
    <r>
      <rPr>
        <sz val="10"/>
        <color theme="1"/>
        <rFont val="細明體"/>
        <family val="3"/>
        <charset val="136"/>
      </rPr>
      <t>（下拉選項）</t>
    </r>
    <phoneticPr fontId="10" type="noConversion"/>
  </si>
  <si>
    <r>
      <rPr>
        <sz val="10"/>
        <color theme="1"/>
        <rFont val="細明體"/>
        <family val="3"/>
        <charset val="136"/>
      </rPr>
      <t>第</t>
    </r>
    <r>
      <rPr>
        <sz val="10"/>
        <color theme="1"/>
        <rFont val="Arial"/>
      </rPr>
      <t xml:space="preserve"> 7 </t>
    </r>
    <r>
      <rPr>
        <sz val="10"/>
        <color theme="1"/>
        <rFont val="細明體"/>
        <family val="3"/>
        <charset val="136"/>
      </rPr>
      <t>章　常用</t>
    </r>
    <r>
      <rPr>
        <sz val="10"/>
        <color theme="1"/>
        <rFont val="Arial"/>
      </rPr>
      <t xml:space="preserve"> View </t>
    </r>
    <r>
      <rPr>
        <sz val="10"/>
        <color theme="1"/>
        <rFont val="細明體"/>
        <family val="3"/>
        <charset val="136"/>
      </rPr>
      <t xml:space="preserve">元件
</t>
    </r>
    <r>
      <rPr>
        <sz val="10"/>
        <color theme="1"/>
        <rFont val="Arial"/>
        <family val="2"/>
      </rPr>
      <t>3</t>
    </r>
    <r>
      <rPr>
        <sz val="10"/>
        <color theme="1"/>
        <rFont val="Arial"/>
      </rPr>
      <t>.</t>
    </r>
    <r>
      <rPr>
        <sz val="10"/>
        <color theme="1"/>
        <rFont val="Arial"/>
        <family val="2"/>
      </rPr>
      <t>`Switch`</t>
    </r>
    <r>
      <rPr>
        <sz val="10"/>
        <color theme="1"/>
        <rFont val="細明體"/>
        <family val="3"/>
        <charset val="136"/>
      </rPr>
      <t>（開關）、</t>
    </r>
    <r>
      <rPr>
        <sz val="10"/>
        <color theme="1"/>
        <rFont val="Arial"/>
        <family val="2"/>
      </rPr>
      <t>`SeekBar`</t>
    </r>
    <r>
      <rPr>
        <sz val="10"/>
        <color theme="1"/>
        <rFont val="細明體"/>
        <family val="3"/>
        <charset val="136"/>
      </rPr>
      <t>（進度條）、</t>
    </r>
    <r>
      <rPr>
        <sz val="10"/>
        <color theme="1"/>
        <rFont val="Arial"/>
        <family val="2"/>
      </rPr>
      <t>`RatingBar`</t>
    </r>
    <r>
      <rPr>
        <sz val="10"/>
        <color theme="1"/>
        <rFont val="細明體"/>
        <family val="3"/>
        <charset val="136"/>
      </rPr>
      <t>（星等）</t>
    </r>
    <phoneticPr fontId="10" type="noConversion"/>
  </si>
  <si>
    <t>1 節</t>
  </si>
  <si>
    <r>
      <t>15_</t>
    </r>
    <r>
      <rPr>
        <sz val="10"/>
        <color theme="1"/>
        <rFont val="Arial"/>
      </rPr>
      <t/>
    </r>
  </si>
  <si>
    <t>Rec 09-23-26-7.avi</t>
  </si>
  <si>
    <t>2 節</t>
  </si>
  <si>
    <r>
      <t>16_</t>
    </r>
    <r>
      <rPr>
        <sz val="10"/>
        <color theme="1"/>
        <rFont val="Arial"/>
      </rPr>
      <t/>
    </r>
  </si>
  <si>
    <t>Rec 09-23-26-8.avi</t>
  </si>
  <si>
    <t>第十五堂</t>
    <phoneticPr fontId="10" type="noConversion"/>
  </si>
  <si>
    <t>第十六堂</t>
    <phoneticPr fontId="10" type="noConversion"/>
  </si>
  <si>
    <t>AI 動手做｜常用 View 互動展示</t>
    <phoneticPr fontId="10" type="noConversion"/>
  </si>
  <si>
    <r>
      <rPr>
        <sz val="10"/>
        <color theme="1"/>
        <rFont val="細明體"/>
        <family val="3"/>
        <charset val="136"/>
      </rPr>
      <t>完整範例</t>
    </r>
    <r>
      <rPr>
        <sz val="10"/>
        <color theme="1"/>
        <rFont val="Arial"/>
        <family val="2"/>
      </rPr>
      <t>(1)</t>
    </r>
    <r>
      <rPr>
        <sz val="10"/>
        <color theme="1"/>
        <rFont val="細明體"/>
        <family val="3"/>
        <charset val="136"/>
      </rPr>
      <t>：</t>
    </r>
    <r>
      <rPr>
        <sz val="10"/>
        <color theme="1"/>
        <rFont val="Arial"/>
      </rPr>
      <t xml:space="preserve">BMI </t>
    </r>
    <r>
      <rPr>
        <sz val="10"/>
        <color theme="1"/>
        <rFont val="細明體"/>
        <family val="3"/>
        <charset val="136"/>
      </rPr>
      <t xml:space="preserve">計算機
</t>
    </r>
    <r>
      <rPr>
        <sz val="10"/>
        <color theme="1"/>
        <rFont val="Arial"/>
        <family val="2"/>
      </rPr>
      <t xml:space="preserve">AI </t>
    </r>
    <r>
      <rPr>
        <sz val="10"/>
        <color theme="1"/>
        <rFont val="細明體"/>
        <family val="3"/>
        <charset val="136"/>
      </rPr>
      <t>動手做｜</t>
    </r>
    <r>
      <rPr>
        <sz val="10"/>
        <color theme="1"/>
        <rFont val="Arial"/>
        <family val="2"/>
      </rPr>
      <t xml:space="preserve">BMI </t>
    </r>
    <r>
      <rPr>
        <sz val="10"/>
        <color theme="1"/>
        <rFont val="細明體"/>
        <family val="3"/>
        <charset val="136"/>
      </rPr>
      <t>計算機</t>
    </r>
    <phoneticPr fontId="10" type="noConversion"/>
  </si>
  <si>
    <r>
      <rPr>
        <sz val="10"/>
        <color theme="1"/>
        <rFont val="細明體"/>
        <family val="3"/>
        <charset val="136"/>
      </rPr>
      <t>完整範例</t>
    </r>
    <r>
      <rPr>
        <sz val="10"/>
        <color theme="1"/>
        <rFont val="Arial"/>
        <family val="2"/>
      </rPr>
      <t>(2)</t>
    </r>
    <r>
      <rPr>
        <sz val="10"/>
        <color theme="1"/>
        <rFont val="細明體"/>
        <family val="3"/>
        <charset val="136"/>
      </rPr>
      <t xml:space="preserve">：溫度轉換器
</t>
    </r>
    <r>
      <rPr>
        <sz val="10"/>
        <color theme="1"/>
        <rFont val="Arial"/>
        <family val="2"/>
      </rPr>
      <t xml:space="preserve">AI </t>
    </r>
    <r>
      <rPr>
        <sz val="10"/>
        <color theme="1"/>
        <rFont val="細明體"/>
        <family val="3"/>
        <charset val="136"/>
      </rPr>
      <t>動手做｜溫度轉換器</t>
    </r>
    <phoneticPr fontId="10" type="noConversion"/>
  </si>
  <si>
    <r>
      <rPr>
        <sz val="10"/>
        <color theme="1"/>
        <rFont val="細明體"/>
        <family val="3"/>
        <charset val="136"/>
      </rPr>
      <t>完整範例</t>
    </r>
    <r>
      <rPr>
        <sz val="10"/>
        <color theme="1"/>
        <rFont val="Arial"/>
        <family val="2"/>
      </rPr>
      <t>(3)</t>
    </r>
    <r>
      <rPr>
        <sz val="10"/>
        <color theme="1"/>
        <rFont val="細明體"/>
        <family val="3"/>
        <charset val="136"/>
      </rPr>
      <t xml:space="preserve">：登入表單
</t>
    </r>
    <r>
      <rPr>
        <sz val="10"/>
        <color theme="1"/>
        <rFont val="Arial"/>
        <family val="2"/>
      </rPr>
      <t xml:space="preserve"> AI </t>
    </r>
    <r>
      <rPr>
        <sz val="10"/>
        <color theme="1"/>
        <rFont val="細明體"/>
        <family val="3"/>
        <charset val="136"/>
      </rPr>
      <t>動手做｜登入表單</t>
    </r>
    <phoneticPr fontId="10" type="noConversion"/>
  </si>
  <si>
    <r>
      <rPr>
        <sz val="10"/>
        <color theme="1"/>
        <rFont val="Arial"/>
        <family val="3"/>
        <charset val="136"/>
        <scheme val="minor"/>
      </rPr>
      <t>．具備</t>
    </r>
    <r>
      <rPr>
        <sz val="10"/>
        <color theme="1"/>
        <rFont val="Arial"/>
        <scheme val="minor"/>
      </rPr>
      <t>Jav</t>
    </r>
    <r>
      <rPr>
        <sz val="10"/>
        <color theme="1"/>
        <rFont val="Arial"/>
        <family val="2"/>
        <scheme val="minor"/>
      </rPr>
      <t>a</t>
    </r>
    <r>
      <rPr>
        <sz val="10"/>
        <color theme="1"/>
        <rFont val="Arial"/>
        <family val="3"/>
        <charset val="136"/>
        <scheme val="minor"/>
      </rPr>
      <t>開發物件導向語法經驗，了解</t>
    </r>
    <r>
      <rPr>
        <sz val="10"/>
        <color theme="1"/>
        <rFont val="Arial"/>
        <family val="2"/>
        <scheme val="minor"/>
      </rPr>
      <t xml:space="preserve">Java UI </t>
    </r>
    <r>
      <rPr>
        <sz val="10"/>
        <color theme="1"/>
        <rFont val="Arial"/>
        <scheme val="minor"/>
      </rPr>
      <t>Swing / JFrame</t>
    </r>
    <r>
      <rPr>
        <sz val="10"/>
        <color theme="1"/>
        <rFont val="Arial"/>
        <family val="3"/>
        <charset val="136"/>
        <scheme val="minor"/>
      </rPr>
      <t>的開發者
．想以</t>
    </r>
    <r>
      <rPr>
        <sz val="10"/>
        <color theme="1"/>
        <rFont val="Arial"/>
        <scheme val="minor"/>
      </rPr>
      <t>Jav</t>
    </r>
    <r>
      <rPr>
        <sz val="10"/>
        <color theme="1"/>
        <rFont val="Arial"/>
        <family val="2"/>
        <scheme val="minor"/>
      </rPr>
      <t>a</t>
    </r>
    <r>
      <rPr>
        <sz val="10"/>
        <color theme="1"/>
        <rFont val="Arial"/>
        <family val="3"/>
        <charset val="136"/>
        <scheme val="minor"/>
      </rPr>
      <t>開發</t>
    </r>
    <r>
      <rPr>
        <sz val="10"/>
        <color theme="1"/>
        <rFont val="Arial"/>
        <scheme val="minor"/>
      </rPr>
      <t>Android App</t>
    </r>
    <r>
      <rPr>
        <sz val="10"/>
        <color theme="1"/>
        <rFont val="Arial"/>
        <family val="3"/>
        <charset val="136"/>
        <scheme val="minor"/>
      </rPr>
      <t>的學習者</t>
    </r>
    <phoneticPr fontId="10" type="noConversion"/>
  </si>
  <si>
    <r>
      <rPr>
        <sz val="10"/>
        <color theme="1"/>
        <rFont val="Arial"/>
        <family val="3"/>
        <charset val="136"/>
        <scheme val="minor"/>
      </rPr>
      <t>熟悉</t>
    </r>
    <r>
      <rPr>
        <sz val="10"/>
        <color theme="1"/>
        <rFont val="Arial"/>
        <scheme val="minor"/>
      </rPr>
      <t>Android</t>
    </r>
    <r>
      <rPr>
        <sz val="10"/>
        <color theme="1"/>
        <rFont val="Arial"/>
        <family val="3"/>
        <charset val="136"/>
        <scheme val="minor"/>
      </rPr>
      <t>「事件導向」，跨越「</t>
    </r>
    <r>
      <rPr>
        <sz val="10"/>
        <color theme="1"/>
        <rFont val="Arial"/>
        <scheme val="minor"/>
      </rPr>
      <t xml:space="preserve"> XML</t>
    </r>
    <r>
      <rPr>
        <sz val="10"/>
        <color theme="1"/>
        <rFont val="Arial"/>
        <family val="2"/>
        <scheme val="minor"/>
      </rPr>
      <t xml:space="preserve"> UI</t>
    </r>
    <r>
      <rPr>
        <sz val="10"/>
        <color theme="1"/>
        <rFont val="Arial"/>
        <family val="3"/>
        <charset val="136"/>
        <scheme val="minor"/>
      </rPr>
      <t>佈局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3"/>
        <charset val="136"/>
        <scheme val="minor"/>
      </rPr>
      <t>」的思維畫面設計。</t>
    </r>
    <phoneticPr fontId="10" type="noConversion"/>
  </si>
  <si>
    <t>進階課程可以結合後端商業應用程式API設計Android當作UI前端</t>
    <phoneticPr fontId="10" type="noConversion"/>
  </si>
  <si>
    <r>
      <t>從事手機</t>
    </r>
    <r>
      <rPr>
        <sz val="10"/>
        <color theme="1"/>
        <rFont val="Arial"/>
        <family val="3"/>
        <charset val="136"/>
        <scheme val="minor"/>
      </rPr>
      <t>App</t>
    </r>
    <r>
      <rPr>
        <sz val="10"/>
        <color theme="1"/>
        <rFont val="Arial"/>
        <family val="3"/>
        <charset val="136"/>
        <scheme val="minor"/>
      </rPr>
      <t>基礎語法開發</t>
    </r>
    <phoneticPr fontId="10" type="noConversion"/>
  </si>
  <si>
    <r>
      <rPr>
        <sz val="10"/>
        <color theme="1"/>
        <rFont val="Arial"/>
        <family val="3"/>
        <charset val="136"/>
        <scheme val="minor"/>
      </rPr>
      <t>具備手機</t>
    </r>
    <r>
      <rPr>
        <sz val="10"/>
        <color theme="1"/>
        <rFont val="Arial"/>
        <scheme val="minor"/>
      </rPr>
      <t>App</t>
    </r>
    <r>
      <rPr>
        <sz val="10"/>
        <color theme="1"/>
        <rFont val="Arial"/>
        <family val="3"/>
        <charset val="136"/>
        <scheme val="minor"/>
      </rPr>
      <t>基礎</t>
    </r>
    <phoneticPr fontId="10" type="noConversion"/>
  </si>
  <si>
    <t>無專案作品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</si>
</sst>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sz val="10"/>
      <color rgb="FF1155CC"/>
      <name val="Arial"/>
    </font>
    <font>
      <sz val="10"/>
      <color rgb="FF000000"/>
      <name val="Arial"/>
    </font>
    <font>
      <sz val="10"/>
      <color rgb="FFFF0000"/>
      <name val="Arial"/>
    </font>
    <font>
      <b/>
      <sz val="10"/>
      <color rgb="FFFFFFFF"/>
      <name val="Arial"/>
    </font>
    <font>
      <sz val="9"/>
      <name val="Arial"/>
      <family val="3"/>
      <charset val="136"/>
      <scheme val="minor"/>
    </font>
    <font>
      <b/>
      <sz val="12"/>
      <color rgb="FFFFFFFF"/>
      <name val="微軟正黑體"/>
      <family val="2"/>
      <charset val="136"/>
    </font>
    <font>
      <b/>
      <sz val="11"/>
      <name val="微軟正黑體"/>
      <family val="2"/>
      <charset val="136"/>
    </font>
    <font>
      <sz val="11"/>
      <name val="微軟正黑體"/>
      <family val="2"/>
      <charset val="136"/>
    </font>
    <font>
      <b/>
      <sz val="11"/>
      <color rgb="FFC00000"/>
      <name val="微軟正黑體"/>
      <family val="2"/>
      <charset val="136"/>
    </font>
    <font>
      <i/>
      <sz val="10"/>
      <color rgb="FF595959"/>
      <name val="微軟正黑體"/>
      <family val="2"/>
      <charset val="136"/>
    </font>
    <font>
      <sz val="10"/>
      <color rgb="FF000000"/>
      <name val="Arial"/>
      <family val="2"/>
    </font>
    <font>
      <sz val="10"/>
      <color rgb="FF000000"/>
      <name val="細明體"/>
      <family val="3"/>
      <charset val="136"/>
    </font>
    <font>
      <sz val="10"/>
      <color theme="1"/>
      <name val="細明體"/>
      <family val="3"/>
      <charset val="136"/>
    </font>
    <font>
      <sz val="10"/>
      <color theme="1"/>
      <name val="Arial"/>
      <family val="2"/>
    </font>
    <font>
      <b/>
      <sz val="10"/>
      <color theme="1"/>
      <name val="細明體"/>
      <family val="3"/>
      <charset val="136"/>
    </font>
    <font>
      <sz val="10"/>
      <color theme="1"/>
      <name val="Arial"/>
      <family val="2"/>
      <scheme val="minor"/>
    </font>
    <font>
      <sz val="10"/>
      <color theme="1"/>
      <name val="Arial"/>
      <family val="3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99"/>
        <bgColor rgb="FFFFFF99"/>
      </patternFill>
    </fill>
    <fill>
      <patternFill patternType="solid">
        <fgColor rgb="FFFCD5B4"/>
        <bgColor rgb="FFFCD5B4"/>
      </patternFill>
    </fill>
    <fill>
      <patternFill patternType="solid">
        <fgColor rgb="FFC0C0C0"/>
        <bgColor rgb="FFC0C0C0"/>
      </patternFill>
    </fill>
    <fill>
      <patternFill patternType="solid">
        <fgColor rgb="FFFFCC99"/>
        <bgColor rgb="FFFFCC99"/>
      </patternFill>
    </fill>
    <fill>
      <patternFill patternType="solid">
        <fgColor rgb="FFFDE9D9"/>
        <bgColor rgb="FFFDE9D9"/>
      </patternFill>
    </fill>
    <fill>
      <patternFill patternType="solid">
        <fgColor rgb="FFA5A5A5"/>
        <bgColor rgb="FFA5A5A5"/>
      </patternFill>
    </fill>
    <fill>
      <patternFill patternType="solid">
        <fgColor rgb="FF666666"/>
        <bgColor rgb="FF666666"/>
      </patternFill>
    </fill>
    <fill>
      <patternFill patternType="solid">
        <fgColor rgb="FF2E75B6"/>
      </patternFill>
    </fill>
    <fill>
      <patternFill patternType="solid">
        <fgColor rgb="FFEBF3FB"/>
      </patternFill>
    </fill>
  </fills>
  <borders count="1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1" fillId="4" borderId="0" xfId="0" applyFont="1" applyFill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21" fontId="2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right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21" fontId="2" fillId="0" borderId="0" xfId="0" applyNumberFormat="1" applyFont="1"/>
    <xf numFmtId="0" fontId="2" fillId="5" borderId="7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2" fillId="5" borderId="7" xfId="0" applyFont="1" applyFill="1" applyBorder="1"/>
    <xf numFmtId="0" fontId="2" fillId="0" borderId="4" xfId="0" applyFont="1" applyBorder="1"/>
    <xf numFmtId="0" fontId="2" fillId="0" borderId="4" xfId="0" applyFont="1" applyBorder="1" applyAlignment="1">
      <alignment horizontal="center" wrapText="1"/>
    </xf>
    <xf numFmtId="0" fontId="5" fillId="0" borderId="1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2" fillId="4" borderId="4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right" wrapText="1"/>
    </xf>
    <xf numFmtId="0" fontId="3" fillId="0" borderId="9" xfId="0" applyFont="1" applyBorder="1" applyAlignment="1">
      <alignment vertical="center"/>
    </xf>
    <xf numFmtId="0" fontId="2" fillId="0" borderId="4" xfId="0" applyFont="1" applyBorder="1" applyAlignment="1">
      <alignment wrapText="1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8" borderId="4" xfId="0" applyFont="1" applyFill="1" applyBorder="1" applyAlignment="1">
      <alignment vertical="center"/>
    </xf>
    <xf numFmtId="0" fontId="9" fillId="9" borderId="12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11" fillId="10" borderId="13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left" vertical="center" wrapText="1"/>
    </xf>
    <xf numFmtId="0" fontId="12" fillId="11" borderId="13" xfId="0" applyFont="1" applyFill="1" applyBorder="1" applyAlignment="1">
      <alignment horizontal="center" vertical="center" wrapText="1"/>
    </xf>
    <xf numFmtId="0" fontId="12" fillId="11" borderId="13" xfId="0" applyFont="1" applyFill="1" applyBorder="1" applyAlignment="1">
      <alignment horizontal="left" vertical="center" wrapText="1"/>
    </xf>
    <xf numFmtId="0" fontId="13" fillId="11" borderId="13" xfId="0" applyFont="1" applyFill="1" applyBorder="1" applyAlignment="1">
      <alignment horizontal="left" vertical="center" wrapText="1"/>
    </xf>
    <xf numFmtId="0" fontId="14" fillId="11" borderId="13" xfId="0" applyFont="1" applyFill="1" applyBorder="1" applyAlignment="1">
      <alignment horizontal="center" vertical="center" wrapText="1"/>
    </xf>
    <xf numFmtId="0" fontId="15" fillId="11" borderId="1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16" fillId="3" borderId="4" xfId="0" applyFont="1" applyFill="1" applyBorder="1" applyAlignment="1">
      <alignment vertical="top" wrapText="1"/>
    </xf>
    <xf numFmtId="0" fontId="7" fillId="3" borderId="4" xfId="0" applyFont="1" applyFill="1" applyBorder="1" applyAlignment="1">
      <alignment vertical="top" wrapText="1"/>
    </xf>
    <xf numFmtId="0" fontId="2" fillId="3" borderId="4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0" borderId="2" xfId="0" applyFont="1" applyBorder="1"/>
    <xf numFmtId="0" fontId="19" fillId="0" borderId="0" xfId="0" applyFont="1" applyAlignment="1">
      <alignment wrapText="1"/>
    </xf>
    <xf numFmtId="0" fontId="19" fillId="0" borderId="4" xfId="0" applyFont="1" applyBorder="1" applyAlignment="1">
      <alignment horizontal="center" wrapText="1"/>
    </xf>
    <xf numFmtId="20" fontId="19" fillId="0" borderId="4" xfId="0" applyNumberFormat="1" applyFont="1" applyBorder="1" applyAlignment="1">
      <alignment wrapText="1"/>
    </xf>
    <xf numFmtId="0" fontId="2" fillId="0" borderId="14" xfId="0" applyFont="1" applyBorder="1" applyAlignment="1">
      <alignment horizontal="right" wrapText="1"/>
    </xf>
    <xf numFmtId="0" fontId="2" fillId="0" borderId="14" xfId="0" applyFont="1" applyBorder="1" applyAlignment="1">
      <alignment wrapText="1"/>
    </xf>
    <xf numFmtId="0" fontId="19" fillId="0" borderId="14" xfId="0" applyFont="1" applyBorder="1" applyAlignment="1">
      <alignment horizontal="center" wrapText="1"/>
    </xf>
    <xf numFmtId="0" fontId="2" fillId="0" borderId="14" xfId="0" applyFont="1" applyBorder="1"/>
    <xf numFmtId="0" fontId="2" fillId="0" borderId="15" xfId="0" applyFont="1" applyBorder="1"/>
    <xf numFmtId="0" fontId="19" fillId="0" borderId="2" xfId="0" applyFont="1" applyBorder="1" applyAlignment="1">
      <alignment horizontal="right" wrapText="1"/>
    </xf>
    <xf numFmtId="21" fontId="2" fillId="0" borderId="14" xfId="0" applyNumberFormat="1" applyFont="1" applyBorder="1"/>
    <xf numFmtId="21" fontId="2" fillId="0" borderId="4" xfId="0" applyNumberFormat="1" applyFont="1" applyBorder="1"/>
    <xf numFmtId="0" fontId="19" fillId="0" borderId="4" xfId="0" applyFont="1" applyBorder="1" applyAlignment="1">
      <alignment horizontal="right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2" fillId="3" borderId="2" xfId="0" applyFont="1" applyFill="1" applyBorder="1" applyAlignment="1">
      <alignment horizontal="center" wrapText="1"/>
    </xf>
    <xf numFmtId="0" fontId="0" fillId="0" borderId="2" xfId="0" applyBorder="1"/>
    <xf numFmtId="0" fontId="2" fillId="5" borderId="3" xfId="0" applyFont="1" applyFill="1" applyBorder="1" applyAlignment="1">
      <alignment horizontal="center" wrapText="1"/>
    </xf>
    <xf numFmtId="0" fontId="0" fillId="0" borderId="3" xfId="0" applyBorder="1"/>
    <xf numFmtId="0" fontId="2" fillId="3" borderId="4" xfId="0" applyFont="1" applyFill="1" applyBorder="1" applyAlignment="1">
      <alignment wrapText="1"/>
    </xf>
    <xf numFmtId="0" fontId="2" fillId="5" borderId="4" xfId="0" applyFont="1" applyFill="1" applyBorder="1" applyAlignment="1">
      <alignment horizont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3" borderId="2" xfId="0" applyFont="1" applyFill="1" applyBorder="1" applyAlignment="1">
      <alignment wrapText="1"/>
    </xf>
    <xf numFmtId="0" fontId="2" fillId="5" borderId="4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2" fillId="3" borderId="4" xfId="0" applyFont="1" applyFill="1" applyBorder="1"/>
    <xf numFmtId="0" fontId="2" fillId="3" borderId="4" xfId="0" applyFont="1" applyFill="1" applyBorder="1" applyAlignment="1">
      <alignment horizontal="center" wrapText="1"/>
    </xf>
    <xf numFmtId="0" fontId="19" fillId="0" borderId="2" xfId="0" applyFont="1" applyBorder="1" applyAlignment="1">
      <alignment wrapText="1"/>
    </xf>
    <xf numFmtId="0" fontId="18" fillId="3" borderId="4" xfId="0" applyFont="1" applyFill="1" applyBorder="1" applyAlignment="1">
      <alignment horizontal="center" wrapText="1"/>
    </xf>
    <xf numFmtId="0" fontId="18" fillId="0" borderId="2" xfId="0" applyFont="1" applyBorder="1" applyAlignment="1">
      <alignment wrapText="1"/>
    </xf>
    <xf numFmtId="0" fontId="19" fillId="5" borderId="3" xfId="0" applyFont="1" applyFill="1" applyBorder="1" applyAlignment="1">
      <alignment horizontal="center" wrapText="1"/>
    </xf>
    <xf numFmtId="0" fontId="19" fillId="0" borderId="5" xfId="0" applyFont="1" applyBorder="1" applyAlignment="1">
      <alignment wrapText="1"/>
    </xf>
    <xf numFmtId="0" fontId="20" fillId="0" borderId="5" xfId="0" applyFont="1" applyBorder="1" applyAlignment="1">
      <alignment wrapText="1"/>
    </xf>
    <xf numFmtId="0" fontId="6" fillId="0" borderId="12" xfId="0" applyFont="1" applyBorder="1" applyAlignment="1">
      <alignment horizontal="left" vertical="center" wrapText="1"/>
    </xf>
    <xf numFmtId="0" fontId="0" fillId="0" borderId="10" xfId="0" applyBorder="1"/>
    <xf numFmtId="0" fontId="0" fillId="0" borderId="11" xfId="0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rive.google.com/file/d/1HMU9PGBzqlYrI1wr-fEMm4LbS5anBr6_/view?usp=drive_link" TargetMode="External"/><Relationship Id="rId1" Type="http://schemas.openxmlformats.org/officeDocument/2006/relationships/hyperlink" Target="https://drive.google.com/file/d/1_NPjJZr4_svhiBwQn5lLUfzaD-Ys-qgq/view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5"/>
  <sheetViews>
    <sheetView workbookViewId="0">
      <selection activeCell="D12" sqref="D12"/>
    </sheetView>
  </sheetViews>
  <sheetFormatPr defaultColWidth="12.6328125" defaultRowHeight="15.75" customHeight="1" x14ac:dyDescent="0.25"/>
  <cols>
    <col min="1" max="1" width="6.36328125" customWidth="1"/>
    <col min="2" max="2" width="5.7265625" customWidth="1"/>
    <col min="4" max="4" width="60.6328125" customWidth="1"/>
    <col min="5" max="5" width="13" customWidth="1"/>
    <col min="6" max="6" width="72" customWidth="1"/>
  </cols>
  <sheetData>
    <row r="1" spans="1:26" ht="2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84" customHeight="1" x14ac:dyDescent="0.25">
      <c r="A2" s="11" t="b">
        <v>0</v>
      </c>
      <c r="B2" s="7">
        <v>1</v>
      </c>
      <c r="C2" s="8" t="s">
        <v>5</v>
      </c>
      <c r="D2" s="12" t="s">
        <v>6</v>
      </c>
      <c r="E2" s="13" t="s">
        <v>7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1.5" customHeight="1" x14ac:dyDescent="0.25">
      <c r="A3" s="11" t="b">
        <v>0</v>
      </c>
      <c r="B3" s="7">
        <v>2</v>
      </c>
      <c r="C3" s="8" t="s">
        <v>8</v>
      </c>
      <c r="D3" s="11" t="s">
        <v>9</v>
      </c>
      <c r="E3" s="13" t="s">
        <v>7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4" customHeight="1" x14ac:dyDescent="0.25">
      <c r="A4" s="11" t="b">
        <v>0</v>
      </c>
      <c r="B4" s="7">
        <v>3</v>
      </c>
      <c r="C4" s="8" t="s">
        <v>10</v>
      </c>
      <c r="D4" s="11" t="s">
        <v>11</v>
      </c>
      <c r="E4" s="13" t="s">
        <v>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44.25" customHeight="1" x14ac:dyDescent="0.25">
      <c r="A5" s="11" t="b">
        <v>0</v>
      </c>
      <c r="B5" s="7">
        <v>4</v>
      </c>
      <c r="C5" s="8" t="s">
        <v>12</v>
      </c>
      <c r="D5" s="11" t="s">
        <v>13</v>
      </c>
      <c r="E5" s="13" t="s">
        <v>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60" customHeight="1" x14ac:dyDescent="0.25">
      <c r="A6" s="11" t="b">
        <v>0</v>
      </c>
      <c r="B6" s="7">
        <v>5</v>
      </c>
      <c r="C6" s="8" t="s">
        <v>14</v>
      </c>
      <c r="D6" s="20" t="s">
        <v>15</v>
      </c>
      <c r="E6" s="13" t="s">
        <v>16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5.25" customHeight="1" x14ac:dyDescent="0.25">
      <c r="A7" s="11" t="b">
        <v>0</v>
      </c>
      <c r="B7" s="7">
        <v>6</v>
      </c>
      <c r="C7" s="8" t="s">
        <v>17</v>
      </c>
      <c r="D7" s="11" t="s">
        <v>18</v>
      </c>
      <c r="E7" s="13" t="s">
        <v>7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43.5" customHeight="1" x14ac:dyDescent="0.25">
      <c r="A8" s="11" t="b">
        <v>0</v>
      </c>
      <c r="B8" s="7">
        <v>7</v>
      </c>
      <c r="C8" s="8" t="s">
        <v>19</v>
      </c>
      <c r="D8" s="11" t="s">
        <v>20</v>
      </c>
      <c r="E8" s="13" t="s">
        <v>7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43.5" customHeight="1" x14ac:dyDescent="0.25">
      <c r="A9" s="11" t="b">
        <v>0</v>
      </c>
      <c r="B9" s="7">
        <v>8</v>
      </c>
      <c r="C9" s="8" t="s">
        <v>21</v>
      </c>
      <c r="D9" s="11" t="s">
        <v>22</v>
      </c>
      <c r="E9" s="13" t="s">
        <v>23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9" customHeight="1" x14ac:dyDescent="0.25">
      <c r="A10" s="11" t="b">
        <v>0</v>
      </c>
      <c r="B10" s="7">
        <v>9</v>
      </c>
      <c r="C10" s="8" t="s">
        <v>24</v>
      </c>
      <c r="D10" s="11" t="s">
        <v>25</v>
      </c>
      <c r="E10" s="13" t="s">
        <v>23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66" customHeight="1" x14ac:dyDescent="0.25">
      <c r="A11" s="11" t="b">
        <v>0</v>
      </c>
      <c r="B11" s="7">
        <v>10</v>
      </c>
      <c r="C11" s="8" t="s">
        <v>26</v>
      </c>
      <c r="D11" s="11" t="s">
        <v>27</v>
      </c>
      <c r="E11" s="13" t="s">
        <v>23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5" customHeight="1" x14ac:dyDescent="0.25">
      <c r="A12" s="21" t="b">
        <v>0</v>
      </c>
      <c r="B12" s="23">
        <v>11</v>
      </c>
      <c r="C12" s="24" t="s">
        <v>28</v>
      </c>
      <c r="D12" s="21" t="s">
        <v>29</v>
      </c>
      <c r="E12" s="25" t="s">
        <v>23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88.5" customHeight="1" x14ac:dyDescent="0.25">
      <c r="A13" s="28"/>
      <c r="B13" s="26">
        <v>12</v>
      </c>
      <c r="C13" s="28" t="s">
        <v>30</v>
      </c>
      <c r="D13" s="30" t="s">
        <v>31</v>
      </c>
      <c r="E13" s="3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4" customHeight="1" x14ac:dyDescent="0.25">
      <c r="A14" s="4"/>
      <c r="B14" s="32"/>
      <c r="C14" s="4"/>
      <c r="D14" s="45"/>
      <c r="E14" s="3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4" customHeight="1" x14ac:dyDescent="0.25">
      <c r="A15" s="4"/>
      <c r="B15" s="32"/>
      <c r="C15" s="4"/>
      <c r="D15" s="45"/>
      <c r="E15" s="33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" customHeight="1" x14ac:dyDescent="0.25">
      <c r="A16" s="4"/>
      <c r="B16" s="32"/>
      <c r="C16" s="4"/>
      <c r="D16" s="45"/>
      <c r="E16" s="33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" customHeight="1" x14ac:dyDescent="0.25">
      <c r="A17" s="4"/>
      <c r="B17" s="32"/>
      <c r="C17" s="4"/>
      <c r="D17" s="45"/>
      <c r="E17" s="3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" customHeight="1" x14ac:dyDescent="0.25">
      <c r="A18" s="4"/>
      <c r="B18" s="32"/>
      <c r="C18" s="4"/>
      <c r="D18" s="45"/>
      <c r="E18" s="3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" customHeight="1" x14ac:dyDescent="0.25">
      <c r="A19" s="4"/>
      <c r="B19" s="32"/>
      <c r="C19" s="4"/>
      <c r="D19" s="45"/>
      <c r="E19" s="3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" customHeight="1" x14ac:dyDescent="0.25">
      <c r="A20" s="4"/>
      <c r="B20" s="32"/>
      <c r="C20" s="4"/>
      <c r="D20" s="45"/>
      <c r="E20" s="3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4" customHeight="1" x14ac:dyDescent="0.25">
      <c r="A21" s="4"/>
      <c r="B21" s="32"/>
      <c r="C21" s="4"/>
      <c r="D21" s="45"/>
      <c r="E21" s="33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" customHeight="1" x14ac:dyDescent="0.25">
      <c r="A22" s="4"/>
      <c r="B22" s="32"/>
      <c r="C22" s="4"/>
      <c r="D22" s="45"/>
      <c r="E22" s="3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4" customHeight="1" x14ac:dyDescent="0.25">
      <c r="A23" s="4"/>
      <c r="B23" s="32"/>
      <c r="C23" s="4"/>
      <c r="D23" s="45"/>
      <c r="E23" s="33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" customHeight="1" x14ac:dyDescent="0.25">
      <c r="A24" s="4"/>
      <c r="B24" s="32"/>
      <c r="C24" s="4"/>
      <c r="D24" s="45"/>
      <c r="E24" s="33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" customHeight="1" x14ac:dyDescent="0.25">
      <c r="A25" s="4"/>
      <c r="B25" s="32"/>
      <c r="C25" s="4"/>
      <c r="D25" s="45"/>
      <c r="E25" s="3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" customHeight="1" x14ac:dyDescent="0.25">
      <c r="A26" s="4"/>
      <c r="B26" s="32"/>
      <c r="C26" s="4"/>
      <c r="D26" s="45"/>
      <c r="E26" s="3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" customHeight="1" x14ac:dyDescent="0.25">
      <c r="A27" s="4"/>
      <c r="B27" s="32"/>
      <c r="C27" s="4"/>
      <c r="D27" s="45"/>
      <c r="E27" s="33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" customHeight="1" x14ac:dyDescent="0.25">
      <c r="A28" s="4"/>
      <c r="B28" s="32"/>
      <c r="C28" s="4"/>
      <c r="D28" s="45"/>
      <c r="E28" s="33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" customHeight="1" x14ac:dyDescent="0.25">
      <c r="A29" s="4"/>
      <c r="B29" s="32"/>
      <c r="C29" s="4"/>
      <c r="D29" s="45"/>
      <c r="E29" s="33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4" customHeight="1" x14ac:dyDescent="0.25">
      <c r="A30" s="4"/>
      <c r="B30" s="32"/>
      <c r="C30" s="4"/>
      <c r="D30" s="45"/>
      <c r="E30" s="3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4" customHeight="1" x14ac:dyDescent="0.25">
      <c r="A31" s="4"/>
      <c r="B31" s="32"/>
      <c r="C31" s="4"/>
      <c r="D31" s="45"/>
      <c r="E31" s="33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4" customHeight="1" x14ac:dyDescent="0.25">
      <c r="A32" s="4"/>
      <c r="B32" s="32"/>
      <c r="C32" s="4"/>
      <c r="D32" s="45"/>
      <c r="E32" s="33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4" customHeight="1" x14ac:dyDescent="0.25">
      <c r="A33" s="4"/>
      <c r="B33" s="32"/>
      <c r="C33" s="4"/>
      <c r="D33" s="45"/>
      <c r="E33" s="3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4" customHeight="1" x14ac:dyDescent="0.25">
      <c r="A34" s="4"/>
      <c r="B34" s="32"/>
      <c r="C34" s="4"/>
      <c r="D34" s="45"/>
      <c r="E34" s="33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4" customHeight="1" x14ac:dyDescent="0.25">
      <c r="A35" s="4"/>
      <c r="B35" s="32"/>
      <c r="C35" s="4"/>
      <c r="D35" s="45"/>
      <c r="E35" s="3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4" customHeight="1" x14ac:dyDescent="0.25">
      <c r="A36" s="4"/>
      <c r="B36" s="32"/>
      <c r="C36" s="4"/>
      <c r="D36" s="45"/>
      <c r="E36" s="33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4" customHeight="1" x14ac:dyDescent="0.25">
      <c r="A37" s="4"/>
      <c r="B37" s="32"/>
      <c r="C37" s="4"/>
      <c r="D37" s="45"/>
      <c r="E37" s="3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4" customHeight="1" x14ac:dyDescent="0.25">
      <c r="A38" s="4"/>
      <c r="B38" s="32"/>
      <c r="C38" s="4"/>
      <c r="D38" s="45"/>
      <c r="E38" s="33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4" customHeight="1" x14ac:dyDescent="0.25">
      <c r="A39" s="4"/>
      <c r="B39" s="32"/>
      <c r="C39" s="4"/>
      <c r="D39" s="45"/>
      <c r="E39" s="33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4" customHeight="1" x14ac:dyDescent="0.25">
      <c r="A40" s="4"/>
      <c r="B40" s="32"/>
      <c r="C40" s="4"/>
      <c r="D40" s="45"/>
      <c r="E40" s="33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4" customHeight="1" x14ac:dyDescent="0.25">
      <c r="A41" s="4"/>
      <c r="B41" s="32"/>
      <c r="C41" s="4"/>
      <c r="D41" s="45"/>
      <c r="E41" s="33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4" customHeight="1" x14ac:dyDescent="0.25">
      <c r="A42" s="4"/>
      <c r="B42" s="32"/>
      <c r="C42" s="4"/>
      <c r="D42" s="45"/>
      <c r="E42" s="3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4" customHeight="1" x14ac:dyDescent="0.25">
      <c r="A43" s="4"/>
      <c r="B43" s="32"/>
      <c r="C43" s="4"/>
      <c r="D43" s="45"/>
      <c r="E43" s="33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4" customHeight="1" x14ac:dyDescent="0.25">
      <c r="A44" s="4"/>
      <c r="B44" s="32"/>
      <c r="C44" s="4"/>
      <c r="D44" s="45"/>
      <c r="E44" s="3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4" customHeight="1" x14ac:dyDescent="0.25">
      <c r="A45" s="4"/>
      <c r="B45" s="32"/>
      <c r="C45" s="4"/>
      <c r="D45" s="45"/>
      <c r="E45" s="33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4" customHeight="1" x14ac:dyDescent="0.25">
      <c r="A46" s="4"/>
      <c r="B46" s="32"/>
      <c r="C46" s="4"/>
      <c r="D46" s="45"/>
      <c r="E46" s="33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4" customHeight="1" x14ac:dyDescent="0.25">
      <c r="A47" s="4"/>
      <c r="B47" s="32"/>
      <c r="C47" s="4"/>
      <c r="D47" s="45"/>
      <c r="E47" s="3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4" customHeight="1" x14ac:dyDescent="0.25">
      <c r="A48" s="4"/>
      <c r="B48" s="32"/>
      <c r="C48" s="4"/>
      <c r="D48" s="45"/>
      <c r="E48" s="33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4" customHeight="1" x14ac:dyDescent="0.25">
      <c r="A49" s="4"/>
      <c r="B49" s="32"/>
      <c r="C49" s="4"/>
      <c r="D49" s="45"/>
      <c r="E49" s="3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4" customHeight="1" x14ac:dyDescent="0.25">
      <c r="A50" s="4"/>
      <c r="B50" s="32"/>
      <c r="C50" s="4"/>
      <c r="D50" s="45"/>
      <c r="E50" s="33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4" customHeight="1" x14ac:dyDescent="0.25">
      <c r="A51" s="4"/>
      <c r="B51" s="32"/>
      <c r="C51" s="4"/>
      <c r="D51" s="45"/>
      <c r="E51" s="3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4" customHeight="1" x14ac:dyDescent="0.25">
      <c r="A52" s="4"/>
      <c r="B52" s="32"/>
      <c r="C52" s="4"/>
      <c r="D52" s="45"/>
      <c r="E52" s="33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4" customHeight="1" x14ac:dyDescent="0.25">
      <c r="A53" s="4"/>
      <c r="B53" s="32"/>
      <c r="C53" s="4"/>
      <c r="D53" s="45"/>
      <c r="E53" s="33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4" customHeight="1" x14ac:dyDescent="0.25">
      <c r="A54" s="4"/>
      <c r="B54" s="32"/>
      <c r="C54" s="4"/>
      <c r="D54" s="45"/>
      <c r="E54" s="3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4" customHeight="1" x14ac:dyDescent="0.25">
      <c r="A55" s="4"/>
      <c r="B55" s="32"/>
      <c r="C55" s="4"/>
      <c r="D55" s="45"/>
      <c r="E55" s="33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4" customHeight="1" x14ac:dyDescent="0.25">
      <c r="A56" s="4"/>
      <c r="B56" s="32"/>
      <c r="C56" s="4"/>
      <c r="D56" s="45"/>
      <c r="E56" s="33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4" customHeight="1" x14ac:dyDescent="0.25">
      <c r="A57" s="4"/>
      <c r="B57" s="32"/>
      <c r="C57" s="4"/>
      <c r="D57" s="45"/>
      <c r="E57" s="33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4" customHeight="1" x14ac:dyDescent="0.25">
      <c r="A58" s="4"/>
      <c r="B58" s="32"/>
      <c r="C58" s="4"/>
      <c r="D58" s="45"/>
      <c r="E58" s="33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4" customHeight="1" x14ac:dyDescent="0.25">
      <c r="A59" s="4"/>
      <c r="B59" s="32"/>
      <c r="C59" s="4"/>
      <c r="D59" s="45"/>
      <c r="E59" s="3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4" customHeight="1" x14ac:dyDescent="0.25">
      <c r="A60" s="4"/>
      <c r="B60" s="32"/>
      <c r="C60" s="4"/>
      <c r="D60" s="45"/>
      <c r="E60" s="33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4" customHeight="1" x14ac:dyDescent="0.25">
      <c r="A61" s="4"/>
      <c r="B61" s="32"/>
      <c r="C61" s="4"/>
      <c r="D61" s="45"/>
      <c r="E61" s="3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4" customHeight="1" x14ac:dyDescent="0.25">
      <c r="A62" s="4"/>
      <c r="B62" s="32"/>
      <c r="C62" s="4"/>
      <c r="D62" s="45"/>
      <c r="E62" s="33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4" customHeight="1" x14ac:dyDescent="0.25">
      <c r="A63" s="4"/>
      <c r="B63" s="32"/>
      <c r="C63" s="4"/>
      <c r="D63" s="45"/>
      <c r="E63" s="3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4" customHeight="1" x14ac:dyDescent="0.25">
      <c r="A64" s="4"/>
      <c r="B64" s="32"/>
      <c r="C64" s="4"/>
      <c r="D64" s="45"/>
      <c r="E64" s="33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4" customHeight="1" x14ac:dyDescent="0.25">
      <c r="A65" s="4"/>
      <c r="B65" s="32"/>
      <c r="C65" s="4"/>
      <c r="D65" s="45"/>
      <c r="E65" s="33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4" customHeight="1" x14ac:dyDescent="0.25">
      <c r="A66" s="4"/>
      <c r="B66" s="32"/>
      <c r="C66" s="4"/>
      <c r="D66" s="45"/>
      <c r="E66" s="33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4" customHeight="1" x14ac:dyDescent="0.25">
      <c r="A67" s="4"/>
      <c r="B67" s="32"/>
      <c r="C67" s="4"/>
      <c r="D67" s="45"/>
      <c r="E67" s="33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4" customHeight="1" x14ac:dyDescent="0.25">
      <c r="A68" s="4"/>
      <c r="B68" s="32"/>
      <c r="C68" s="4"/>
      <c r="D68" s="45"/>
      <c r="E68" s="33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4" customHeight="1" x14ac:dyDescent="0.25">
      <c r="A69" s="4"/>
      <c r="B69" s="32"/>
      <c r="C69" s="4"/>
      <c r="D69" s="45"/>
      <c r="E69" s="3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4" customHeight="1" x14ac:dyDescent="0.25">
      <c r="A70" s="4"/>
      <c r="B70" s="32"/>
      <c r="C70" s="4"/>
      <c r="D70" s="45"/>
      <c r="E70" s="33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4" customHeight="1" x14ac:dyDescent="0.25">
      <c r="A71" s="4"/>
      <c r="B71" s="32"/>
      <c r="C71" s="4"/>
      <c r="D71" s="45"/>
      <c r="E71" s="33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4" customHeight="1" x14ac:dyDescent="0.25">
      <c r="A72" s="4"/>
      <c r="B72" s="32"/>
      <c r="C72" s="4"/>
      <c r="D72" s="45"/>
      <c r="E72" s="33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4" customHeight="1" x14ac:dyDescent="0.25">
      <c r="A73" s="4"/>
      <c r="B73" s="32"/>
      <c r="C73" s="4"/>
      <c r="D73" s="45"/>
      <c r="E73" s="33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4" customHeight="1" x14ac:dyDescent="0.25">
      <c r="A74" s="4"/>
      <c r="B74" s="32"/>
      <c r="C74" s="4"/>
      <c r="D74" s="45"/>
      <c r="E74" s="33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4" customHeight="1" x14ac:dyDescent="0.25">
      <c r="A75" s="4"/>
      <c r="B75" s="32"/>
      <c r="C75" s="4"/>
      <c r="D75" s="45"/>
      <c r="E75" s="3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4" customHeight="1" x14ac:dyDescent="0.25">
      <c r="A76" s="4"/>
      <c r="B76" s="32"/>
      <c r="C76" s="4"/>
      <c r="D76" s="45"/>
      <c r="E76" s="33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4" customHeight="1" x14ac:dyDescent="0.25">
      <c r="A77" s="4"/>
      <c r="B77" s="32"/>
      <c r="C77" s="4"/>
      <c r="D77" s="45"/>
      <c r="E77" s="33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4" customHeight="1" x14ac:dyDescent="0.25">
      <c r="A78" s="4"/>
      <c r="B78" s="32"/>
      <c r="C78" s="4"/>
      <c r="D78" s="45"/>
      <c r="E78" s="33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4" customHeight="1" x14ac:dyDescent="0.25">
      <c r="A79" s="4"/>
      <c r="B79" s="32"/>
      <c r="C79" s="4"/>
      <c r="D79" s="45"/>
      <c r="E79" s="33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4" customHeight="1" x14ac:dyDescent="0.25">
      <c r="A80" s="4"/>
      <c r="B80" s="32"/>
      <c r="C80" s="4"/>
      <c r="D80" s="45"/>
      <c r="E80" s="33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4" customHeight="1" x14ac:dyDescent="0.25">
      <c r="A81" s="4"/>
      <c r="B81" s="32"/>
      <c r="C81" s="4"/>
      <c r="D81" s="45"/>
      <c r="E81" s="3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4" customHeight="1" x14ac:dyDescent="0.25">
      <c r="A82" s="4"/>
      <c r="B82" s="32"/>
      <c r="C82" s="4"/>
      <c r="D82" s="45"/>
      <c r="E82" s="33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4" customHeight="1" x14ac:dyDescent="0.25">
      <c r="A83" s="4"/>
      <c r="B83" s="32"/>
      <c r="C83" s="4"/>
      <c r="D83" s="45"/>
      <c r="E83" s="3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4" customHeight="1" x14ac:dyDescent="0.25">
      <c r="A84" s="4"/>
      <c r="B84" s="32"/>
      <c r="C84" s="4"/>
      <c r="D84" s="45"/>
      <c r="E84" s="33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4" customHeight="1" x14ac:dyDescent="0.25">
      <c r="A85" s="4"/>
      <c r="B85" s="32"/>
      <c r="C85" s="4"/>
      <c r="D85" s="45"/>
      <c r="E85" s="3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4" customHeight="1" x14ac:dyDescent="0.25">
      <c r="A86" s="4"/>
      <c r="B86" s="32"/>
      <c r="C86" s="4"/>
      <c r="D86" s="45"/>
      <c r="E86" s="33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4" customHeight="1" x14ac:dyDescent="0.25">
      <c r="A87" s="4"/>
      <c r="B87" s="32"/>
      <c r="C87" s="4"/>
      <c r="D87" s="45"/>
      <c r="E87" s="3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4" customHeight="1" x14ac:dyDescent="0.25">
      <c r="A88" s="4"/>
      <c r="B88" s="32"/>
      <c r="C88" s="4"/>
      <c r="D88" s="45"/>
      <c r="E88" s="33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4" customHeight="1" x14ac:dyDescent="0.25">
      <c r="A89" s="4"/>
      <c r="B89" s="32"/>
      <c r="C89" s="4"/>
      <c r="D89" s="45"/>
      <c r="E89" s="33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4" customHeight="1" x14ac:dyDescent="0.25">
      <c r="A90" s="4"/>
      <c r="B90" s="32"/>
      <c r="C90" s="4"/>
      <c r="D90" s="45"/>
      <c r="E90" s="3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4" customHeight="1" x14ac:dyDescent="0.25">
      <c r="A91" s="4"/>
      <c r="B91" s="32"/>
      <c r="C91" s="4"/>
      <c r="D91" s="45"/>
      <c r="E91" s="33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4" customHeight="1" x14ac:dyDescent="0.25">
      <c r="A92" s="4"/>
      <c r="B92" s="32"/>
      <c r="C92" s="4"/>
      <c r="D92" s="45"/>
      <c r="E92" s="3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4" customHeight="1" x14ac:dyDescent="0.25">
      <c r="A93" s="4"/>
      <c r="B93" s="32"/>
      <c r="C93" s="4"/>
      <c r="D93" s="45"/>
      <c r="E93" s="33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4" customHeight="1" x14ac:dyDescent="0.25">
      <c r="A94" s="4"/>
      <c r="B94" s="32"/>
      <c r="C94" s="4"/>
      <c r="D94" s="45"/>
      <c r="E94" s="33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4" customHeight="1" x14ac:dyDescent="0.25">
      <c r="A95" s="4"/>
      <c r="B95" s="32"/>
      <c r="C95" s="4"/>
      <c r="D95" s="45"/>
      <c r="E95" s="33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4" customHeight="1" x14ac:dyDescent="0.25">
      <c r="A96" s="4"/>
      <c r="B96" s="32"/>
      <c r="C96" s="4"/>
      <c r="D96" s="45"/>
      <c r="E96" s="3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4" customHeight="1" x14ac:dyDescent="0.25">
      <c r="A97" s="4"/>
      <c r="B97" s="32"/>
      <c r="C97" s="4"/>
      <c r="D97" s="45"/>
      <c r="E97" s="33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4" customHeight="1" x14ac:dyDescent="0.25">
      <c r="A98" s="4"/>
      <c r="B98" s="32"/>
      <c r="C98" s="4"/>
      <c r="D98" s="45"/>
      <c r="E98" s="3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4" customHeight="1" x14ac:dyDescent="0.25">
      <c r="A99" s="4"/>
      <c r="B99" s="32"/>
      <c r="C99" s="4"/>
      <c r="D99" s="45"/>
      <c r="E99" s="33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4" customHeight="1" x14ac:dyDescent="0.25">
      <c r="A100" s="4"/>
      <c r="B100" s="32"/>
      <c r="C100" s="4"/>
      <c r="D100" s="45"/>
      <c r="E100" s="3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4" customHeight="1" x14ac:dyDescent="0.25">
      <c r="A101" s="4"/>
      <c r="B101" s="32"/>
      <c r="C101" s="4"/>
      <c r="D101" s="45"/>
      <c r="E101" s="3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4" customHeight="1" x14ac:dyDescent="0.25">
      <c r="A102" s="4"/>
      <c r="B102" s="32"/>
      <c r="C102" s="4"/>
      <c r="D102" s="45"/>
      <c r="E102" s="3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4" customHeight="1" x14ac:dyDescent="0.25">
      <c r="A103" s="4"/>
      <c r="B103" s="32"/>
      <c r="C103" s="4"/>
      <c r="D103" s="45"/>
      <c r="E103" s="3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4" customHeight="1" x14ac:dyDescent="0.25">
      <c r="A104" s="4"/>
      <c r="B104" s="32"/>
      <c r="C104" s="4"/>
      <c r="D104" s="45"/>
      <c r="E104" s="3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4" customHeight="1" x14ac:dyDescent="0.25">
      <c r="A105" s="4"/>
      <c r="B105" s="32"/>
      <c r="C105" s="4"/>
      <c r="D105" s="45"/>
      <c r="E105" s="3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4" customHeight="1" x14ac:dyDescent="0.25">
      <c r="A106" s="4"/>
      <c r="B106" s="32"/>
      <c r="C106" s="4"/>
      <c r="D106" s="45"/>
      <c r="E106" s="3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4" customHeight="1" x14ac:dyDescent="0.25">
      <c r="A107" s="4"/>
      <c r="B107" s="32"/>
      <c r="C107" s="4"/>
      <c r="D107" s="45"/>
      <c r="E107" s="33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4" customHeight="1" x14ac:dyDescent="0.25">
      <c r="A108" s="4"/>
      <c r="B108" s="32"/>
      <c r="C108" s="4"/>
      <c r="D108" s="45"/>
      <c r="E108" s="33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4" customHeight="1" x14ac:dyDescent="0.25">
      <c r="A109" s="4"/>
      <c r="B109" s="32"/>
      <c r="C109" s="4"/>
      <c r="D109" s="45"/>
      <c r="E109" s="33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4" customHeight="1" x14ac:dyDescent="0.25">
      <c r="A110" s="4"/>
      <c r="B110" s="32"/>
      <c r="C110" s="4"/>
      <c r="D110" s="45"/>
      <c r="E110" s="33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4" customHeight="1" x14ac:dyDescent="0.25">
      <c r="A111" s="4"/>
      <c r="B111" s="32"/>
      <c r="C111" s="4"/>
      <c r="D111" s="45"/>
      <c r="E111" s="33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4" customHeight="1" x14ac:dyDescent="0.25">
      <c r="A112" s="4"/>
      <c r="B112" s="32"/>
      <c r="C112" s="4"/>
      <c r="D112" s="45"/>
      <c r="E112" s="33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4" customHeight="1" x14ac:dyDescent="0.25">
      <c r="A113" s="4"/>
      <c r="B113" s="32"/>
      <c r="C113" s="4"/>
      <c r="D113" s="45"/>
      <c r="E113" s="33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4" customHeight="1" x14ac:dyDescent="0.25">
      <c r="A114" s="4"/>
      <c r="B114" s="32"/>
      <c r="C114" s="4"/>
      <c r="D114" s="45"/>
      <c r="E114" s="33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4" customHeight="1" x14ac:dyDescent="0.25">
      <c r="A115" s="4"/>
      <c r="B115" s="32"/>
      <c r="C115" s="4"/>
      <c r="D115" s="45"/>
      <c r="E115" s="33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4" customHeight="1" x14ac:dyDescent="0.25">
      <c r="A116" s="4"/>
      <c r="B116" s="32"/>
      <c r="C116" s="4"/>
      <c r="D116" s="45"/>
      <c r="E116" s="33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4" customHeight="1" x14ac:dyDescent="0.25">
      <c r="A117" s="4"/>
      <c r="B117" s="32"/>
      <c r="C117" s="4"/>
      <c r="D117" s="45"/>
      <c r="E117" s="33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4" customHeight="1" x14ac:dyDescent="0.25">
      <c r="A118" s="4"/>
      <c r="B118" s="32"/>
      <c r="C118" s="4"/>
      <c r="D118" s="45"/>
      <c r="E118" s="33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4" customHeight="1" x14ac:dyDescent="0.25">
      <c r="A119" s="4"/>
      <c r="B119" s="32"/>
      <c r="C119" s="4"/>
      <c r="D119" s="45"/>
      <c r="E119" s="33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4" customHeight="1" x14ac:dyDescent="0.25">
      <c r="A120" s="4"/>
      <c r="B120" s="32"/>
      <c r="C120" s="4"/>
      <c r="D120" s="45"/>
      <c r="E120" s="33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4" customHeight="1" x14ac:dyDescent="0.25">
      <c r="A121" s="4"/>
      <c r="B121" s="32"/>
      <c r="C121" s="4"/>
      <c r="D121" s="45"/>
      <c r="E121" s="33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4" customHeight="1" x14ac:dyDescent="0.25">
      <c r="A122" s="4"/>
      <c r="B122" s="32"/>
      <c r="C122" s="4"/>
      <c r="D122" s="45"/>
      <c r="E122" s="33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4" customHeight="1" x14ac:dyDescent="0.25">
      <c r="A123" s="4"/>
      <c r="B123" s="32"/>
      <c r="C123" s="4"/>
      <c r="D123" s="45"/>
      <c r="E123" s="33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4" customHeight="1" x14ac:dyDescent="0.25">
      <c r="A124" s="4"/>
      <c r="B124" s="32"/>
      <c r="C124" s="4"/>
      <c r="D124" s="45"/>
      <c r="E124" s="33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4" customHeight="1" x14ac:dyDescent="0.25">
      <c r="A125" s="4"/>
      <c r="B125" s="32"/>
      <c r="C125" s="4"/>
      <c r="D125" s="45"/>
      <c r="E125" s="33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4" customHeight="1" x14ac:dyDescent="0.25">
      <c r="A126" s="4"/>
      <c r="B126" s="32"/>
      <c r="C126" s="4"/>
      <c r="D126" s="45"/>
      <c r="E126" s="33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4" customHeight="1" x14ac:dyDescent="0.25">
      <c r="A127" s="4"/>
      <c r="B127" s="32"/>
      <c r="C127" s="4"/>
      <c r="D127" s="45"/>
      <c r="E127" s="33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4" customHeight="1" x14ac:dyDescent="0.25">
      <c r="A128" s="4"/>
      <c r="B128" s="32"/>
      <c r="C128" s="4"/>
      <c r="D128" s="45"/>
      <c r="E128" s="33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4" customHeight="1" x14ac:dyDescent="0.25">
      <c r="A129" s="4"/>
      <c r="B129" s="32"/>
      <c r="C129" s="4"/>
      <c r="D129" s="45"/>
      <c r="E129" s="33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4" customHeight="1" x14ac:dyDescent="0.25">
      <c r="A130" s="4"/>
      <c r="B130" s="32"/>
      <c r="C130" s="4"/>
      <c r="D130" s="45"/>
      <c r="E130" s="33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4" customHeight="1" x14ac:dyDescent="0.25">
      <c r="A131" s="4"/>
      <c r="B131" s="32"/>
      <c r="C131" s="4"/>
      <c r="D131" s="45"/>
      <c r="E131" s="33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4" customHeight="1" x14ac:dyDescent="0.25">
      <c r="A132" s="4"/>
      <c r="B132" s="32"/>
      <c r="C132" s="4"/>
      <c r="D132" s="45"/>
      <c r="E132" s="33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4" customHeight="1" x14ac:dyDescent="0.25">
      <c r="A133" s="4"/>
      <c r="B133" s="32"/>
      <c r="C133" s="4"/>
      <c r="D133" s="45"/>
      <c r="E133" s="33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4" customHeight="1" x14ac:dyDescent="0.25">
      <c r="A134" s="4"/>
      <c r="B134" s="32"/>
      <c r="C134" s="4"/>
      <c r="D134" s="45"/>
      <c r="E134" s="33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4" customHeight="1" x14ac:dyDescent="0.25">
      <c r="A135" s="4"/>
      <c r="B135" s="32"/>
      <c r="C135" s="4"/>
      <c r="D135" s="45"/>
      <c r="E135" s="33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4" customHeight="1" x14ac:dyDescent="0.25">
      <c r="A136" s="4"/>
      <c r="B136" s="32"/>
      <c r="C136" s="4"/>
      <c r="D136" s="45"/>
      <c r="E136" s="33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4" customHeight="1" x14ac:dyDescent="0.25">
      <c r="A137" s="4"/>
      <c r="B137" s="32"/>
      <c r="C137" s="4"/>
      <c r="D137" s="45"/>
      <c r="E137" s="33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4" customHeight="1" x14ac:dyDescent="0.25">
      <c r="A138" s="4"/>
      <c r="B138" s="32"/>
      <c r="C138" s="4"/>
      <c r="D138" s="45"/>
      <c r="E138" s="33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4" customHeight="1" x14ac:dyDescent="0.25">
      <c r="A139" s="4"/>
      <c r="B139" s="32"/>
      <c r="C139" s="4"/>
      <c r="D139" s="45"/>
      <c r="E139" s="33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4" customHeight="1" x14ac:dyDescent="0.25">
      <c r="A140" s="4"/>
      <c r="B140" s="32"/>
      <c r="C140" s="4"/>
      <c r="D140" s="45"/>
      <c r="E140" s="33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4" customHeight="1" x14ac:dyDescent="0.25">
      <c r="A141" s="4"/>
      <c r="B141" s="32"/>
      <c r="C141" s="4"/>
      <c r="D141" s="45"/>
      <c r="E141" s="33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4" customHeight="1" x14ac:dyDescent="0.25">
      <c r="A142" s="4"/>
      <c r="B142" s="32"/>
      <c r="C142" s="4"/>
      <c r="D142" s="45"/>
      <c r="E142" s="33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4" customHeight="1" x14ac:dyDescent="0.25">
      <c r="A143" s="4"/>
      <c r="B143" s="32"/>
      <c r="C143" s="4"/>
      <c r="D143" s="45"/>
      <c r="E143" s="33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4" customHeight="1" x14ac:dyDescent="0.25">
      <c r="A144" s="4"/>
      <c r="B144" s="32"/>
      <c r="C144" s="4"/>
      <c r="D144" s="45"/>
      <c r="E144" s="33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4" customHeight="1" x14ac:dyDescent="0.25">
      <c r="A145" s="4"/>
      <c r="B145" s="32"/>
      <c r="C145" s="4"/>
      <c r="D145" s="45"/>
      <c r="E145" s="33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4" customHeight="1" x14ac:dyDescent="0.25">
      <c r="A146" s="4"/>
      <c r="B146" s="32"/>
      <c r="C146" s="4"/>
      <c r="D146" s="45"/>
      <c r="E146" s="33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4" customHeight="1" x14ac:dyDescent="0.25">
      <c r="A147" s="4"/>
      <c r="B147" s="32"/>
      <c r="C147" s="4"/>
      <c r="D147" s="45"/>
      <c r="E147" s="33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4" customHeight="1" x14ac:dyDescent="0.25">
      <c r="A148" s="4"/>
      <c r="B148" s="32"/>
      <c r="C148" s="4"/>
      <c r="D148" s="45"/>
      <c r="E148" s="33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4" customHeight="1" x14ac:dyDescent="0.25">
      <c r="A149" s="4"/>
      <c r="B149" s="32"/>
      <c r="C149" s="4"/>
      <c r="D149" s="45"/>
      <c r="E149" s="33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4" customHeight="1" x14ac:dyDescent="0.25">
      <c r="A150" s="4"/>
      <c r="B150" s="32"/>
      <c r="C150" s="4"/>
      <c r="D150" s="45"/>
      <c r="E150" s="33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4" customHeight="1" x14ac:dyDescent="0.25">
      <c r="A151" s="4"/>
      <c r="B151" s="32"/>
      <c r="C151" s="4"/>
      <c r="D151" s="45"/>
      <c r="E151" s="33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4" customHeight="1" x14ac:dyDescent="0.25">
      <c r="A152" s="4"/>
      <c r="B152" s="32"/>
      <c r="C152" s="4"/>
      <c r="D152" s="45"/>
      <c r="E152" s="33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4" customHeight="1" x14ac:dyDescent="0.25">
      <c r="A153" s="4"/>
      <c r="B153" s="32"/>
      <c r="C153" s="4"/>
      <c r="D153" s="45"/>
      <c r="E153" s="33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4" customHeight="1" x14ac:dyDescent="0.25">
      <c r="A154" s="4"/>
      <c r="B154" s="32"/>
      <c r="C154" s="4"/>
      <c r="D154" s="45"/>
      <c r="E154" s="33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4" customHeight="1" x14ac:dyDescent="0.25">
      <c r="A155" s="4"/>
      <c r="B155" s="32"/>
      <c r="C155" s="4"/>
      <c r="D155" s="45"/>
      <c r="E155" s="33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4" customHeight="1" x14ac:dyDescent="0.25">
      <c r="A156" s="4"/>
      <c r="B156" s="32"/>
      <c r="C156" s="4"/>
      <c r="D156" s="45"/>
      <c r="E156" s="33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4" customHeight="1" x14ac:dyDescent="0.25">
      <c r="A157" s="4"/>
      <c r="B157" s="32"/>
      <c r="C157" s="4"/>
      <c r="D157" s="45"/>
      <c r="E157" s="33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4" customHeight="1" x14ac:dyDescent="0.25">
      <c r="A158" s="4"/>
      <c r="B158" s="32"/>
      <c r="C158" s="4"/>
      <c r="D158" s="45"/>
      <c r="E158" s="33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4" customHeight="1" x14ac:dyDescent="0.25">
      <c r="A159" s="4"/>
      <c r="B159" s="32"/>
      <c r="C159" s="4"/>
      <c r="D159" s="45"/>
      <c r="E159" s="33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4" customHeight="1" x14ac:dyDescent="0.25">
      <c r="A160" s="4"/>
      <c r="B160" s="32"/>
      <c r="C160" s="4"/>
      <c r="D160" s="45"/>
      <c r="E160" s="33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4" customHeight="1" x14ac:dyDescent="0.25">
      <c r="A161" s="4"/>
      <c r="B161" s="32"/>
      <c r="C161" s="4"/>
      <c r="D161" s="45"/>
      <c r="E161" s="33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4" customHeight="1" x14ac:dyDescent="0.25">
      <c r="A162" s="4"/>
      <c r="B162" s="32"/>
      <c r="C162" s="4"/>
      <c r="D162" s="45"/>
      <c r="E162" s="33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4" customHeight="1" x14ac:dyDescent="0.25">
      <c r="A163" s="4"/>
      <c r="B163" s="32"/>
      <c r="C163" s="4"/>
      <c r="D163" s="45"/>
      <c r="E163" s="33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4" customHeight="1" x14ac:dyDescent="0.25">
      <c r="A164" s="4"/>
      <c r="B164" s="32"/>
      <c r="C164" s="4"/>
      <c r="D164" s="45"/>
      <c r="E164" s="33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4" customHeight="1" x14ac:dyDescent="0.25">
      <c r="A165" s="4"/>
      <c r="B165" s="32"/>
      <c r="C165" s="4"/>
      <c r="D165" s="45"/>
      <c r="E165" s="33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4" customHeight="1" x14ac:dyDescent="0.25">
      <c r="A166" s="4"/>
      <c r="B166" s="32"/>
      <c r="C166" s="4"/>
      <c r="D166" s="45"/>
      <c r="E166" s="33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4" customHeight="1" x14ac:dyDescent="0.25">
      <c r="A167" s="4"/>
      <c r="B167" s="32"/>
      <c r="C167" s="4"/>
      <c r="D167" s="45"/>
      <c r="E167" s="33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4" customHeight="1" x14ac:dyDescent="0.25">
      <c r="A168" s="4"/>
      <c r="B168" s="32"/>
      <c r="C168" s="4"/>
      <c r="D168" s="45"/>
      <c r="E168" s="33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4" customHeight="1" x14ac:dyDescent="0.25">
      <c r="A169" s="4"/>
      <c r="B169" s="32"/>
      <c r="C169" s="4"/>
      <c r="D169" s="45"/>
      <c r="E169" s="3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4" customHeight="1" x14ac:dyDescent="0.25">
      <c r="A170" s="4"/>
      <c r="B170" s="32"/>
      <c r="C170" s="4"/>
      <c r="D170" s="45"/>
      <c r="E170" s="33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4" customHeight="1" x14ac:dyDescent="0.25">
      <c r="A171" s="4"/>
      <c r="B171" s="32"/>
      <c r="C171" s="4"/>
      <c r="D171" s="45"/>
      <c r="E171" s="33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4" customHeight="1" x14ac:dyDescent="0.25">
      <c r="A172" s="4"/>
      <c r="B172" s="32"/>
      <c r="C172" s="4"/>
      <c r="D172" s="45"/>
      <c r="E172" s="33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4" customHeight="1" x14ac:dyDescent="0.25">
      <c r="A173" s="4"/>
      <c r="B173" s="32"/>
      <c r="C173" s="4"/>
      <c r="D173" s="45"/>
      <c r="E173" s="33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4" customHeight="1" x14ac:dyDescent="0.25">
      <c r="A174" s="4"/>
      <c r="B174" s="32"/>
      <c r="C174" s="4"/>
      <c r="D174" s="45"/>
      <c r="E174" s="3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4" customHeight="1" x14ac:dyDescent="0.25">
      <c r="A175" s="4"/>
      <c r="B175" s="32"/>
      <c r="C175" s="4"/>
      <c r="D175" s="45"/>
      <c r="E175" s="3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4" customHeight="1" x14ac:dyDescent="0.25">
      <c r="A176" s="4"/>
      <c r="B176" s="32"/>
      <c r="C176" s="4"/>
      <c r="D176" s="45"/>
      <c r="E176" s="33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4" customHeight="1" x14ac:dyDescent="0.25">
      <c r="A177" s="4"/>
      <c r="B177" s="32"/>
      <c r="C177" s="4"/>
      <c r="D177" s="45"/>
      <c r="E177" s="33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4" customHeight="1" x14ac:dyDescent="0.25">
      <c r="A178" s="4"/>
      <c r="B178" s="32"/>
      <c r="C178" s="4"/>
      <c r="D178" s="45"/>
      <c r="E178" s="3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4" customHeight="1" x14ac:dyDescent="0.25">
      <c r="A179" s="4"/>
      <c r="B179" s="32"/>
      <c r="C179" s="4"/>
      <c r="D179" s="45"/>
      <c r="E179" s="3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4" customHeight="1" x14ac:dyDescent="0.25">
      <c r="A180" s="4"/>
      <c r="B180" s="32"/>
      <c r="C180" s="4"/>
      <c r="D180" s="45"/>
      <c r="E180" s="3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4" customHeight="1" x14ac:dyDescent="0.25">
      <c r="A181" s="4"/>
      <c r="B181" s="32"/>
      <c r="C181" s="4"/>
      <c r="D181" s="45"/>
      <c r="E181" s="3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4" customHeight="1" x14ac:dyDescent="0.25">
      <c r="A182" s="4"/>
      <c r="B182" s="32"/>
      <c r="C182" s="4"/>
      <c r="D182" s="45"/>
      <c r="E182" s="3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4" customHeight="1" x14ac:dyDescent="0.25">
      <c r="A183" s="4"/>
      <c r="B183" s="32"/>
      <c r="C183" s="4"/>
      <c r="D183" s="45"/>
      <c r="E183" s="33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4" customHeight="1" x14ac:dyDescent="0.25">
      <c r="A184" s="4"/>
      <c r="B184" s="32"/>
      <c r="C184" s="4"/>
      <c r="D184" s="45"/>
      <c r="E184" s="33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4" customHeight="1" x14ac:dyDescent="0.25">
      <c r="A185" s="4"/>
      <c r="B185" s="32"/>
      <c r="C185" s="4"/>
      <c r="D185" s="45"/>
      <c r="E185" s="33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4" customHeight="1" x14ac:dyDescent="0.25">
      <c r="A186" s="4"/>
      <c r="B186" s="32"/>
      <c r="C186" s="4"/>
      <c r="D186" s="45"/>
      <c r="E186" s="3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4" customHeight="1" x14ac:dyDescent="0.25">
      <c r="A187" s="4"/>
      <c r="B187" s="32"/>
      <c r="C187" s="4"/>
      <c r="D187" s="45"/>
      <c r="E187" s="33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4" customHeight="1" x14ac:dyDescent="0.25">
      <c r="A188" s="4"/>
      <c r="B188" s="32"/>
      <c r="C188" s="4"/>
      <c r="D188" s="45"/>
      <c r="E188" s="3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4" customHeight="1" x14ac:dyDescent="0.25">
      <c r="A189" s="4"/>
      <c r="B189" s="32"/>
      <c r="C189" s="4"/>
      <c r="D189" s="45"/>
      <c r="E189" s="33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4" customHeight="1" x14ac:dyDescent="0.25">
      <c r="A190" s="4"/>
      <c r="B190" s="32"/>
      <c r="C190" s="4"/>
      <c r="D190" s="45"/>
      <c r="E190" s="3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4" customHeight="1" x14ac:dyDescent="0.25">
      <c r="A191" s="4"/>
      <c r="B191" s="32"/>
      <c r="C191" s="4"/>
      <c r="D191" s="45"/>
      <c r="E191" s="33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4" customHeight="1" x14ac:dyDescent="0.25">
      <c r="A192" s="4"/>
      <c r="B192" s="32"/>
      <c r="C192" s="4"/>
      <c r="D192" s="45"/>
      <c r="E192" s="33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4" customHeight="1" x14ac:dyDescent="0.25">
      <c r="A193" s="4"/>
      <c r="B193" s="32"/>
      <c r="C193" s="4"/>
      <c r="D193" s="45"/>
      <c r="E193" s="3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4" customHeight="1" x14ac:dyDescent="0.25">
      <c r="A194" s="4"/>
      <c r="B194" s="32"/>
      <c r="C194" s="4"/>
      <c r="D194" s="45"/>
      <c r="E194" s="3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4" customHeight="1" x14ac:dyDescent="0.25">
      <c r="A195" s="4"/>
      <c r="B195" s="32"/>
      <c r="C195" s="4"/>
      <c r="D195" s="45"/>
      <c r="E195" s="3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4" customHeight="1" x14ac:dyDescent="0.25">
      <c r="A196" s="4"/>
      <c r="B196" s="32"/>
      <c r="C196" s="4"/>
      <c r="D196" s="45"/>
      <c r="E196" s="3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4" customHeight="1" x14ac:dyDescent="0.25">
      <c r="A197" s="4"/>
      <c r="B197" s="32"/>
      <c r="C197" s="4"/>
      <c r="D197" s="45"/>
      <c r="E197" s="3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4" customHeight="1" x14ac:dyDescent="0.25">
      <c r="A198" s="4"/>
      <c r="B198" s="32"/>
      <c r="C198" s="4"/>
      <c r="D198" s="45"/>
      <c r="E198" s="3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4" customHeight="1" x14ac:dyDescent="0.25">
      <c r="A199" s="4"/>
      <c r="B199" s="32"/>
      <c r="C199" s="4"/>
      <c r="D199" s="45"/>
      <c r="E199" s="3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4" customHeight="1" x14ac:dyDescent="0.25">
      <c r="A200" s="4"/>
      <c r="B200" s="32"/>
      <c r="C200" s="4"/>
      <c r="D200" s="45"/>
      <c r="E200" s="3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4" customHeight="1" x14ac:dyDescent="0.25">
      <c r="A201" s="4"/>
      <c r="B201" s="32"/>
      <c r="C201" s="4"/>
      <c r="D201" s="45"/>
      <c r="E201" s="3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4" customHeight="1" x14ac:dyDescent="0.25">
      <c r="A202" s="4"/>
      <c r="B202" s="32"/>
      <c r="C202" s="4"/>
      <c r="D202" s="45"/>
      <c r="E202" s="3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4" customHeight="1" x14ac:dyDescent="0.25">
      <c r="A203" s="4"/>
      <c r="B203" s="32"/>
      <c r="C203" s="4"/>
      <c r="D203" s="45"/>
      <c r="E203" s="3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4" customHeight="1" x14ac:dyDescent="0.25">
      <c r="A204" s="4"/>
      <c r="B204" s="32"/>
      <c r="C204" s="4"/>
      <c r="D204" s="45"/>
      <c r="E204" s="3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4" customHeight="1" x14ac:dyDescent="0.25">
      <c r="A205" s="4"/>
      <c r="B205" s="32"/>
      <c r="C205" s="4"/>
      <c r="D205" s="45"/>
      <c r="E205" s="3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4" customHeight="1" x14ac:dyDescent="0.25">
      <c r="A206" s="4"/>
      <c r="B206" s="32"/>
      <c r="C206" s="4"/>
      <c r="D206" s="45"/>
      <c r="E206" s="3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4" customHeight="1" x14ac:dyDescent="0.25">
      <c r="A207" s="4"/>
      <c r="B207" s="32"/>
      <c r="C207" s="4"/>
      <c r="D207" s="45"/>
      <c r="E207" s="3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4" customHeight="1" x14ac:dyDescent="0.25">
      <c r="A208" s="4"/>
      <c r="B208" s="32"/>
      <c r="C208" s="4"/>
      <c r="D208" s="45"/>
      <c r="E208" s="3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4" customHeight="1" x14ac:dyDescent="0.25">
      <c r="A209" s="4"/>
      <c r="B209" s="32"/>
      <c r="C209" s="4"/>
      <c r="D209" s="45"/>
      <c r="E209" s="33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4" customHeight="1" x14ac:dyDescent="0.25">
      <c r="A210" s="4"/>
      <c r="B210" s="32"/>
      <c r="C210" s="4"/>
      <c r="D210" s="45"/>
      <c r="E210" s="33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4" customHeight="1" x14ac:dyDescent="0.25">
      <c r="A211" s="4"/>
      <c r="B211" s="32"/>
      <c r="C211" s="4"/>
      <c r="D211" s="45"/>
      <c r="E211" s="33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4" customHeight="1" x14ac:dyDescent="0.25">
      <c r="A212" s="4"/>
      <c r="B212" s="32"/>
      <c r="C212" s="4"/>
      <c r="D212" s="45"/>
      <c r="E212" s="3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4" customHeight="1" x14ac:dyDescent="0.25">
      <c r="A213" s="4"/>
      <c r="B213" s="32"/>
      <c r="C213" s="4"/>
      <c r="D213" s="45"/>
      <c r="E213" s="33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4" customHeight="1" x14ac:dyDescent="0.25">
      <c r="A214" s="4"/>
      <c r="B214" s="32"/>
      <c r="C214" s="4"/>
      <c r="D214" s="45"/>
      <c r="E214" s="33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4" customHeight="1" x14ac:dyDescent="0.25">
      <c r="A215" s="4"/>
      <c r="B215" s="32"/>
      <c r="C215" s="4"/>
      <c r="D215" s="45"/>
      <c r="E215" s="33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4" customHeight="1" x14ac:dyDescent="0.25">
      <c r="A216" s="4"/>
      <c r="B216" s="32"/>
      <c r="C216" s="4"/>
      <c r="D216" s="45"/>
      <c r="E216" s="33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4" customHeight="1" x14ac:dyDescent="0.25">
      <c r="A217" s="4"/>
      <c r="B217" s="32"/>
      <c r="C217" s="4"/>
      <c r="D217" s="45"/>
      <c r="E217" s="33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4" customHeight="1" x14ac:dyDescent="0.25">
      <c r="A218" s="4"/>
      <c r="B218" s="32"/>
      <c r="C218" s="4"/>
      <c r="D218" s="45"/>
      <c r="E218" s="33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4" customHeight="1" x14ac:dyDescent="0.25">
      <c r="A219" s="4"/>
      <c r="B219" s="32"/>
      <c r="C219" s="4"/>
      <c r="D219" s="45"/>
      <c r="E219" s="33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4" customHeight="1" x14ac:dyDescent="0.25">
      <c r="A220" s="4"/>
      <c r="B220" s="32"/>
      <c r="C220" s="4"/>
      <c r="D220" s="45"/>
      <c r="E220" s="33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4" customHeight="1" x14ac:dyDescent="0.25">
      <c r="A221" s="4"/>
      <c r="B221" s="32"/>
      <c r="C221" s="4"/>
      <c r="D221" s="45"/>
      <c r="E221" s="33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4" customHeight="1" x14ac:dyDescent="0.25">
      <c r="A222" s="4"/>
      <c r="B222" s="32"/>
      <c r="C222" s="4"/>
      <c r="D222" s="45"/>
      <c r="E222" s="33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4" customHeight="1" x14ac:dyDescent="0.25">
      <c r="A223" s="4"/>
      <c r="B223" s="32"/>
      <c r="C223" s="4"/>
      <c r="D223" s="45"/>
      <c r="E223" s="33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4" customHeight="1" x14ac:dyDescent="0.25">
      <c r="A224" s="4"/>
      <c r="B224" s="32"/>
      <c r="C224" s="4"/>
      <c r="D224" s="45"/>
      <c r="E224" s="33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4" customHeight="1" x14ac:dyDescent="0.25">
      <c r="A225" s="4"/>
      <c r="B225" s="32"/>
      <c r="C225" s="4"/>
      <c r="D225" s="45"/>
      <c r="E225" s="33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4" customHeight="1" x14ac:dyDescent="0.25">
      <c r="A226" s="4"/>
      <c r="B226" s="32"/>
      <c r="C226" s="4"/>
      <c r="D226" s="45"/>
      <c r="E226" s="33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4" customHeight="1" x14ac:dyDescent="0.25">
      <c r="A227" s="4"/>
      <c r="B227" s="32"/>
      <c r="C227" s="4"/>
      <c r="D227" s="45"/>
      <c r="E227" s="33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4" customHeight="1" x14ac:dyDescent="0.25">
      <c r="A228" s="4"/>
      <c r="B228" s="32"/>
      <c r="C228" s="4"/>
      <c r="D228" s="45"/>
      <c r="E228" s="33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4" customHeight="1" x14ac:dyDescent="0.25">
      <c r="A229" s="4"/>
      <c r="B229" s="32"/>
      <c r="C229" s="4"/>
      <c r="D229" s="45"/>
      <c r="E229" s="33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4" customHeight="1" x14ac:dyDescent="0.25">
      <c r="A230" s="4"/>
      <c r="B230" s="32"/>
      <c r="C230" s="4"/>
      <c r="D230" s="45"/>
      <c r="E230" s="33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4" customHeight="1" x14ac:dyDescent="0.25">
      <c r="A231" s="4"/>
      <c r="B231" s="32"/>
      <c r="C231" s="4"/>
      <c r="D231" s="45"/>
      <c r="E231" s="33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4" customHeight="1" x14ac:dyDescent="0.25">
      <c r="A232" s="4"/>
      <c r="B232" s="32"/>
      <c r="C232" s="4"/>
      <c r="D232" s="45"/>
      <c r="E232" s="33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4" customHeight="1" x14ac:dyDescent="0.25">
      <c r="A233" s="4"/>
      <c r="B233" s="32"/>
      <c r="C233" s="4"/>
      <c r="D233" s="45"/>
      <c r="E233" s="33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4" customHeight="1" x14ac:dyDescent="0.25">
      <c r="A234" s="4"/>
      <c r="B234" s="32"/>
      <c r="C234" s="4"/>
      <c r="D234" s="45"/>
      <c r="E234" s="33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4" customHeight="1" x14ac:dyDescent="0.25">
      <c r="A235" s="4"/>
      <c r="B235" s="32"/>
      <c r="C235" s="4"/>
      <c r="D235" s="45"/>
      <c r="E235" s="33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4" customHeight="1" x14ac:dyDescent="0.25">
      <c r="A236" s="4"/>
      <c r="B236" s="32"/>
      <c r="C236" s="4"/>
      <c r="D236" s="45"/>
      <c r="E236" s="33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4" customHeight="1" x14ac:dyDescent="0.25">
      <c r="A237" s="4"/>
      <c r="B237" s="32"/>
      <c r="C237" s="4"/>
      <c r="D237" s="45"/>
      <c r="E237" s="33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4" customHeight="1" x14ac:dyDescent="0.25">
      <c r="A238" s="4"/>
      <c r="B238" s="32"/>
      <c r="C238" s="4"/>
      <c r="D238" s="45"/>
      <c r="E238" s="3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4" customHeight="1" x14ac:dyDescent="0.25">
      <c r="A239" s="4"/>
      <c r="B239" s="32"/>
      <c r="C239" s="4"/>
      <c r="D239" s="45"/>
      <c r="E239" s="3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4" customHeight="1" x14ac:dyDescent="0.25">
      <c r="A240" s="4"/>
      <c r="B240" s="32"/>
      <c r="C240" s="4"/>
      <c r="D240" s="45"/>
      <c r="E240" s="3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4" customHeight="1" x14ac:dyDescent="0.25">
      <c r="A241" s="4"/>
      <c r="B241" s="32"/>
      <c r="C241" s="4"/>
      <c r="D241" s="45"/>
      <c r="E241" s="3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4" customHeight="1" x14ac:dyDescent="0.25">
      <c r="A242" s="4"/>
      <c r="B242" s="32"/>
      <c r="C242" s="4"/>
      <c r="D242" s="45"/>
      <c r="E242" s="3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4" customHeight="1" x14ac:dyDescent="0.25">
      <c r="A243" s="4"/>
      <c r="B243" s="32"/>
      <c r="C243" s="4"/>
      <c r="D243" s="45"/>
      <c r="E243" s="3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4" customHeight="1" x14ac:dyDescent="0.25">
      <c r="A244" s="4"/>
      <c r="B244" s="32"/>
      <c r="C244" s="4"/>
      <c r="D244" s="45"/>
      <c r="E244" s="33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4" customHeight="1" x14ac:dyDescent="0.25">
      <c r="A245" s="4"/>
      <c r="B245" s="32"/>
      <c r="C245" s="4"/>
      <c r="D245" s="45"/>
      <c r="E245" s="33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4" customHeight="1" x14ac:dyDescent="0.25">
      <c r="A246" s="4"/>
      <c r="B246" s="32"/>
      <c r="C246" s="4"/>
      <c r="D246" s="45"/>
      <c r="E246" s="3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4" customHeight="1" x14ac:dyDescent="0.25">
      <c r="A247" s="4"/>
      <c r="B247" s="32"/>
      <c r="C247" s="4"/>
      <c r="D247" s="45"/>
      <c r="E247" s="33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24" customHeight="1" x14ac:dyDescent="0.25">
      <c r="A248" s="4"/>
      <c r="B248" s="32"/>
      <c r="C248" s="4"/>
      <c r="D248" s="45"/>
      <c r="E248" s="33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24" customHeight="1" x14ac:dyDescent="0.25">
      <c r="A249" s="4"/>
      <c r="B249" s="32"/>
      <c r="C249" s="4"/>
      <c r="D249" s="45"/>
      <c r="E249" s="33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24" customHeight="1" x14ac:dyDescent="0.25">
      <c r="A250" s="4"/>
      <c r="B250" s="32"/>
      <c r="C250" s="4"/>
      <c r="D250" s="45"/>
      <c r="E250" s="33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24" customHeight="1" x14ac:dyDescent="0.25">
      <c r="A251" s="4"/>
      <c r="B251" s="32"/>
      <c r="C251" s="4"/>
      <c r="D251" s="45"/>
      <c r="E251" s="33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24" customHeight="1" x14ac:dyDescent="0.25">
      <c r="A252" s="4"/>
      <c r="B252" s="32"/>
      <c r="C252" s="4"/>
      <c r="D252" s="45"/>
      <c r="E252" s="33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24" customHeight="1" x14ac:dyDescent="0.25">
      <c r="A253" s="4"/>
      <c r="B253" s="32"/>
      <c r="C253" s="4"/>
      <c r="D253" s="45"/>
      <c r="E253" s="33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24" customHeight="1" x14ac:dyDescent="0.25">
      <c r="A254" s="4"/>
      <c r="B254" s="32"/>
      <c r="C254" s="4"/>
      <c r="D254" s="45"/>
      <c r="E254" s="3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24" customHeight="1" x14ac:dyDescent="0.25">
      <c r="A255" s="4"/>
      <c r="B255" s="32"/>
      <c r="C255" s="4"/>
      <c r="D255" s="45"/>
      <c r="E255" s="33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24" customHeight="1" x14ac:dyDescent="0.25">
      <c r="A256" s="4"/>
      <c r="B256" s="32"/>
      <c r="C256" s="4"/>
      <c r="D256" s="45"/>
      <c r="E256" s="33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24" customHeight="1" x14ac:dyDescent="0.25">
      <c r="A257" s="4"/>
      <c r="B257" s="32"/>
      <c r="C257" s="4"/>
      <c r="D257" s="45"/>
      <c r="E257" s="33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24" customHeight="1" x14ac:dyDescent="0.25">
      <c r="A258" s="4"/>
      <c r="B258" s="32"/>
      <c r="C258" s="4"/>
      <c r="D258" s="45"/>
      <c r="E258" s="33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24" customHeight="1" x14ac:dyDescent="0.25">
      <c r="A259" s="4"/>
      <c r="B259" s="32"/>
      <c r="C259" s="4"/>
      <c r="D259" s="45"/>
      <c r="E259" s="33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24" customHeight="1" x14ac:dyDescent="0.25">
      <c r="A260" s="4"/>
      <c r="B260" s="32"/>
      <c r="C260" s="4"/>
      <c r="D260" s="45"/>
      <c r="E260" s="33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24" customHeight="1" x14ac:dyDescent="0.25">
      <c r="A261" s="4"/>
      <c r="B261" s="32"/>
      <c r="C261" s="4"/>
      <c r="D261" s="45"/>
      <c r="E261" s="33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24" customHeight="1" x14ac:dyDescent="0.25">
      <c r="A262" s="4"/>
      <c r="B262" s="32"/>
      <c r="C262" s="4"/>
      <c r="D262" s="45"/>
      <c r="E262" s="33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24" customHeight="1" x14ac:dyDescent="0.25">
      <c r="A263" s="4"/>
      <c r="B263" s="32"/>
      <c r="C263" s="4"/>
      <c r="D263" s="45"/>
      <c r="E263" s="33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24" customHeight="1" x14ac:dyDescent="0.25">
      <c r="A264" s="4"/>
      <c r="B264" s="32"/>
      <c r="C264" s="4"/>
      <c r="D264" s="45"/>
      <c r="E264" s="33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24" customHeight="1" x14ac:dyDescent="0.25">
      <c r="A265" s="4"/>
      <c r="B265" s="32"/>
      <c r="C265" s="4"/>
      <c r="D265" s="45"/>
      <c r="E265" s="33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24" customHeight="1" x14ac:dyDescent="0.25">
      <c r="A266" s="4"/>
      <c r="B266" s="32"/>
      <c r="C266" s="4"/>
      <c r="D266" s="45"/>
      <c r="E266" s="33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24" customHeight="1" x14ac:dyDescent="0.25">
      <c r="A267" s="4"/>
      <c r="B267" s="32"/>
      <c r="C267" s="4"/>
      <c r="D267" s="45"/>
      <c r="E267" s="33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24" customHeight="1" x14ac:dyDescent="0.25">
      <c r="A268" s="4"/>
      <c r="B268" s="32"/>
      <c r="C268" s="4"/>
      <c r="D268" s="45"/>
      <c r="E268" s="3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24" customHeight="1" x14ac:dyDescent="0.25">
      <c r="A269" s="4"/>
      <c r="B269" s="32"/>
      <c r="C269" s="4"/>
      <c r="D269" s="45"/>
      <c r="E269" s="33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24" customHeight="1" x14ac:dyDescent="0.25">
      <c r="A270" s="4"/>
      <c r="B270" s="32"/>
      <c r="C270" s="4"/>
      <c r="D270" s="45"/>
      <c r="E270" s="33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24" customHeight="1" x14ac:dyDescent="0.25">
      <c r="A271" s="4"/>
      <c r="B271" s="32"/>
      <c r="C271" s="4"/>
      <c r="D271" s="45"/>
      <c r="E271" s="33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24" customHeight="1" x14ac:dyDescent="0.25">
      <c r="A272" s="4"/>
      <c r="B272" s="32"/>
      <c r="C272" s="4"/>
      <c r="D272" s="45"/>
      <c r="E272" s="33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24" customHeight="1" x14ac:dyDescent="0.25">
      <c r="A273" s="4"/>
      <c r="B273" s="32"/>
      <c r="C273" s="4"/>
      <c r="D273" s="45"/>
      <c r="E273" s="33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24" customHeight="1" x14ac:dyDescent="0.25">
      <c r="A274" s="4"/>
      <c r="B274" s="32"/>
      <c r="C274" s="4"/>
      <c r="D274" s="45"/>
      <c r="E274" s="33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24" customHeight="1" x14ac:dyDescent="0.25">
      <c r="A275" s="4"/>
      <c r="B275" s="32"/>
      <c r="C275" s="4"/>
      <c r="D275" s="45"/>
      <c r="E275" s="33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24" customHeight="1" x14ac:dyDescent="0.25">
      <c r="A276" s="4"/>
      <c r="B276" s="32"/>
      <c r="C276" s="4"/>
      <c r="D276" s="45"/>
      <c r="E276" s="33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24" customHeight="1" x14ac:dyDescent="0.25">
      <c r="A277" s="4"/>
      <c r="B277" s="32"/>
      <c r="C277" s="4"/>
      <c r="D277" s="45"/>
      <c r="E277" s="3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24" customHeight="1" x14ac:dyDescent="0.25">
      <c r="A278" s="4"/>
      <c r="B278" s="32"/>
      <c r="C278" s="4"/>
      <c r="D278" s="45"/>
      <c r="E278" s="3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24" customHeight="1" x14ac:dyDescent="0.25">
      <c r="A279" s="4"/>
      <c r="B279" s="32"/>
      <c r="C279" s="4"/>
      <c r="D279" s="45"/>
      <c r="E279" s="3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24" customHeight="1" x14ac:dyDescent="0.25">
      <c r="A280" s="4"/>
      <c r="B280" s="32"/>
      <c r="C280" s="4"/>
      <c r="D280" s="45"/>
      <c r="E280" s="33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24" customHeight="1" x14ac:dyDescent="0.25">
      <c r="A281" s="4"/>
      <c r="B281" s="32"/>
      <c r="C281" s="4"/>
      <c r="D281" s="45"/>
      <c r="E281" s="3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24" customHeight="1" x14ac:dyDescent="0.25">
      <c r="A282" s="4"/>
      <c r="B282" s="32"/>
      <c r="C282" s="4"/>
      <c r="D282" s="45"/>
      <c r="E282" s="3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24" customHeight="1" x14ac:dyDescent="0.25">
      <c r="A283" s="4"/>
      <c r="B283" s="32"/>
      <c r="C283" s="4"/>
      <c r="D283" s="45"/>
      <c r="E283" s="3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24" customHeight="1" x14ac:dyDescent="0.25">
      <c r="A284" s="4"/>
      <c r="B284" s="32"/>
      <c r="C284" s="4"/>
      <c r="D284" s="45"/>
      <c r="E284" s="3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24" customHeight="1" x14ac:dyDescent="0.25">
      <c r="A285" s="4"/>
      <c r="B285" s="32"/>
      <c r="C285" s="4"/>
      <c r="D285" s="45"/>
      <c r="E285" s="3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24" customHeight="1" x14ac:dyDescent="0.25">
      <c r="A286" s="4"/>
      <c r="B286" s="32"/>
      <c r="C286" s="4"/>
      <c r="D286" s="45"/>
      <c r="E286" s="3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24" customHeight="1" x14ac:dyDescent="0.25">
      <c r="A287" s="4"/>
      <c r="B287" s="32"/>
      <c r="C287" s="4"/>
      <c r="D287" s="45"/>
      <c r="E287" s="3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24" customHeight="1" x14ac:dyDescent="0.25">
      <c r="A288" s="4"/>
      <c r="B288" s="32"/>
      <c r="C288" s="4"/>
      <c r="D288" s="45"/>
      <c r="E288" s="3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24" customHeight="1" x14ac:dyDescent="0.25">
      <c r="A289" s="4"/>
      <c r="B289" s="32"/>
      <c r="C289" s="4"/>
      <c r="D289" s="45"/>
      <c r="E289" s="3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24" customHeight="1" x14ac:dyDescent="0.25">
      <c r="A290" s="4"/>
      <c r="B290" s="32"/>
      <c r="C290" s="4"/>
      <c r="D290" s="45"/>
      <c r="E290" s="3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24" customHeight="1" x14ac:dyDescent="0.25">
      <c r="A291" s="4"/>
      <c r="B291" s="32"/>
      <c r="C291" s="4"/>
      <c r="D291" s="45"/>
      <c r="E291" s="3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24" customHeight="1" x14ac:dyDescent="0.25">
      <c r="A292" s="4"/>
      <c r="B292" s="32"/>
      <c r="C292" s="4"/>
      <c r="D292" s="45"/>
      <c r="E292" s="3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24" customHeight="1" x14ac:dyDescent="0.25">
      <c r="A293" s="4"/>
      <c r="B293" s="32"/>
      <c r="C293" s="4"/>
      <c r="D293" s="45"/>
      <c r="E293" s="3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24" customHeight="1" x14ac:dyDescent="0.25">
      <c r="A294" s="4"/>
      <c r="B294" s="32"/>
      <c r="C294" s="4"/>
      <c r="D294" s="45"/>
      <c r="E294" s="3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24" customHeight="1" x14ac:dyDescent="0.25">
      <c r="A295" s="4"/>
      <c r="B295" s="32"/>
      <c r="C295" s="4"/>
      <c r="D295" s="45"/>
      <c r="E295" s="3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24" customHeight="1" x14ac:dyDescent="0.25">
      <c r="A296" s="4"/>
      <c r="B296" s="32"/>
      <c r="C296" s="4"/>
      <c r="D296" s="45"/>
      <c r="E296" s="3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24" customHeight="1" x14ac:dyDescent="0.25">
      <c r="A297" s="4"/>
      <c r="B297" s="32"/>
      <c r="C297" s="4"/>
      <c r="D297" s="45"/>
      <c r="E297" s="3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24" customHeight="1" x14ac:dyDescent="0.25">
      <c r="A298" s="4"/>
      <c r="B298" s="32"/>
      <c r="C298" s="4"/>
      <c r="D298" s="45"/>
      <c r="E298" s="3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24" customHeight="1" x14ac:dyDescent="0.25">
      <c r="A299" s="4"/>
      <c r="B299" s="32"/>
      <c r="C299" s="4"/>
      <c r="D299" s="45"/>
      <c r="E299" s="3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24" customHeight="1" x14ac:dyDescent="0.25">
      <c r="A300" s="4"/>
      <c r="B300" s="32"/>
      <c r="C300" s="4"/>
      <c r="D300" s="45"/>
      <c r="E300" s="3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24" customHeight="1" x14ac:dyDescent="0.25">
      <c r="A301" s="4"/>
      <c r="B301" s="32"/>
      <c r="C301" s="4"/>
      <c r="D301" s="45"/>
      <c r="E301" s="3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24" customHeight="1" x14ac:dyDescent="0.25">
      <c r="A302" s="4"/>
      <c r="B302" s="32"/>
      <c r="C302" s="4"/>
      <c r="D302" s="45"/>
      <c r="E302" s="3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24" customHeight="1" x14ac:dyDescent="0.25">
      <c r="A303" s="4"/>
      <c r="B303" s="32"/>
      <c r="C303" s="4"/>
      <c r="D303" s="45"/>
      <c r="E303" s="3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24" customHeight="1" x14ac:dyDescent="0.25">
      <c r="A304" s="4"/>
      <c r="B304" s="32"/>
      <c r="C304" s="4"/>
      <c r="D304" s="45"/>
      <c r="E304" s="3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24" customHeight="1" x14ac:dyDescent="0.25">
      <c r="A305" s="4"/>
      <c r="B305" s="32"/>
      <c r="C305" s="4"/>
      <c r="D305" s="45"/>
      <c r="E305" s="3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24" customHeight="1" x14ac:dyDescent="0.25">
      <c r="A306" s="4"/>
      <c r="B306" s="32"/>
      <c r="C306" s="4"/>
      <c r="D306" s="45"/>
      <c r="E306" s="3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24" customHeight="1" x14ac:dyDescent="0.25">
      <c r="A307" s="4"/>
      <c r="B307" s="32"/>
      <c r="C307" s="4"/>
      <c r="D307" s="45"/>
      <c r="E307" s="3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24" customHeight="1" x14ac:dyDescent="0.25">
      <c r="A308" s="4"/>
      <c r="B308" s="32"/>
      <c r="C308" s="4"/>
      <c r="D308" s="45"/>
      <c r="E308" s="3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24" customHeight="1" x14ac:dyDescent="0.25">
      <c r="A309" s="4"/>
      <c r="B309" s="32"/>
      <c r="C309" s="4"/>
      <c r="D309" s="45"/>
      <c r="E309" s="3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24" customHeight="1" x14ac:dyDescent="0.25">
      <c r="A310" s="4"/>
      <c r="B310" s="32"/>
      <c r="C310" s="4"/>
      <c r="D310" s="45"/>
      <c r="E310" s="3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24" customHeight="1" x14ac:dyDescent="0.25">
      <c r="A311" s="4"/>
      <c r="B311" s="32"/>
      <c r="C311" s="4"/>
      <c r="D311" s="45"/>
      <c r="E311" s="3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24" customHeight="1" x14ac:dyDescent="0.25">
      <c r="A312" s="4"/>
      <c r="B312" s="32"/>
      <c r="C312" s="4"/>
      <c r="D312" s="45"/>
      <c r="E312" s="3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24" customHeight="1" x14ac:dyDescent="0.25">
      <c r="A313" s="4"/>
      <c r="B313" s="32"/>
      <c r="C313" s="4"/>
      <c r="D313" s="45"/>
      <c r="E313" s="3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24" customHeight="1" x14ac:dyDescent="0.25">
      <c r="A314" s="4"/>
      <c r="B314" s="32"/>
      <c r="C314" s="4"/>
      <c r="D314" s="45"/>
      <c r="E314" s="3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24" customHeight="1" x14ac:dyDescent="0.25">
      <c r="A315" s="4"/>
      <c r="B315" s="32"/>
      <c r="C315" s="4"/>
      <c r="D315" s="45"/>
      <c r="E315" s="3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24" customHeight="1" x14ac:dyDescent="0.25">
      <c r="A316" s="4"/>
      <c r="B316" s="32"/>
      <c r="C316" s="4"/>
      <c r="D316" s="45"/>
      <c r="E316" s="3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24" customHeight="1" x14ac:dyDescent="0.25">
      <c r="A317" s="4"/>
      <c r="B317" s="32"/>
      <c r="C317" s="4"/>
      <c r="D317" s="45"/>
      <c r="E317" s="33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24" customHeight="1" x14ac:dyDescent="0.25">
      <c r="A318" s="4"/>
      <c r="B318" s="32"/>
      <c r="C318" s="4"/>
      <c r="D318" s="45"/>
      <c r="E318" s="33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24" customHeight="1" x14ac:dyDescent="0.25">
      <c r="A319" s="4"/>
      <c r="B319" s="32"/>
      <c r="C319" s="4"/>
      <c r="D319" s="45"/>
      <c r="E319" s="33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24" customHeight="1" x14ac:dyDescent="0.25">
      <c r="A320" s="4"/>
      <c r="B320" s="32"/>
      <c r="C320" s="4"/>
      <c r="D320" s="45"/>
      <c r="E320" s="33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24" customHeight="1" x14ac:dyDescent="0.25">
      <c r="A321" s="4"/>
      <c r="B321" s="32"/>
      <c r="C321" s="4"/>
      <c r="D321" s="45"/>
      <c r="E321" s="33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24" customHeight="1" x14ac:dyDescent="0.25">
      <c r="A322" s="4"/>
      <c r="B322" s="32"/>
      <c r="C322" s="4"/>
      <c r="D322" s="45"/>
      <c r="E322" s="33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24" customHeight="1" x14ac:dyDescent="0.25">
      <c r="A323" s="4"/>
      <c r="B323" s="32"/>
      <c r="C323" s="4"/>
      <c r="D323" s="45"/>
      <c r="E323" s="33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24" customHeight="1" x14ac:dyDescent="0.25">
      <c r="A324" s="4"/>
      <c r="B324" s="32"/>
      <c r="C324" s="4"/>
      <c r="D324" s="45"/>
      <c r="E324" s="33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24" customHeight="1" x14ac:dyDescent="0.25">
      <c r="A325" s="4"/>
      <c r="B325" s="32"/>
      <c r="C325" s="4"/>
      <c r="D325" s="45"/>
      <c r="E325" s="33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24" customHeight="1" x14ac:dyDescent="0.25">
      <c r="A326" s="4"/>
      <c r="B326" s="32"/>
      <c r="C326" s="4"/>
      <c r="D326" s="45"/>
      <c r="E326" s="33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24" customHeight="1" x14ac:dyDescent="0.25">
      <c r="A327" s="4"/>
      <c r="B327" s="32"/>
      <c r="C327" s="4"/>
      <c r="D327" s="45"/>
      <c r="E327" s="33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24" customHeight="1" x14ac:dyDescent="0.25">
      <c r="A328" s="4"/>
      <c r="B328" s="32"/>
      <c r="C328" s="4"/>
      <c r="D328" s="45"/>
      <c r="E328" s="33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24" customHeight="1" x14ac:dyDescent="0.25">
      <c r="A329" s="4"/>
      <c r="B329" s="32"/>
      <c r="C329" s="4"/>
      <c r="D329" s="45"/>
      <c r="E329" s="33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24" customHeight="1" x14ac:dyDescent="0.25">
      <c r="A330" s="4"/>
      <c r="B330" s="32"/>
      <c r="C330" s="4"/>
      <c r="D330" s="45"/>
      <c r="E330" s="33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24" customHeight="1" x14ac:dyDescent="0.25">
      <c r="A331" s="4"/>
      <c r="B331" s="32"/>
      <c r="C331" s="4"/>
      <c r="D331" s="45"/>
      <c r="E331" s="33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24" customHeight="1" x14ac:dyDescent="0.25">
      <c r="A332" s="4"/>
      <c r="B332" s="32"/>
      <c r="C332" s="4"/>
      <c r="D332" s="45"/>
      <c r="E332" s="33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24" customHeight="1" x14ac:dyDescent="0.25">
      <c r="A333" s="4"/>
      <c r="B333" s="32"/>
      <c r="C333" s="4"/>
      <c r="D333" s="45"/>
      <c r="E333" s="33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24" customHeight="1" x14ac:dyDescent="0.25">
      <c r="A334" s="4"/>
      <c r="B334" s="32"/>
      <c r="C334" s="4"/>
      <c r="D334" s="45"/>
      <c r="E334" s="33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24" customHeight="1" x14ac:dyDescent="0.25">
      <c r="A335" s="4"/>
      <c r="B335" s="32"/>
      <c r="C335" s="4"/>
      <c r="D335" s="45"/>
      <c r="E335" s="33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24" customHeight="1" x14ac:dyDescent="0.25">
      <c r="A336" s="4"/>
      <c r="B336" s="32"/>
      <c r="C336" s="4"/>
      <c r="D336" s="45"/>
      <c r="E336" s="33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24" customHeight="1" x14ac:dyDescent="0.25">
      <c r="A337" s="4"/>
      <c r="B337" s="32"/>
      <c r="C337" s="4"/>
      <c r="D337" s="45"/>
      <c r="E337" s="33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24" customHeight="1" x14ac:dyDescent="0.25">
      <c r="A338" s="4"/>
      <c r="B338" s="32"/>
      <c r="C338" s="4"/>
      <c r="D338" s="45"/>
      <c r="E338" s="33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24" customHeight="1" x14ac:dyDescent="0.25">
      <c r="A339" s="4"/>
      <c r="B339" s="32"/>
      <c r="C339" s="4"/>
      <c r="D339" s="45"/>
      <c r="E339" s="33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24" customHeight="1" x14ac:dyDescent="0.25">
      <c r="A340" s="4"/>
      <c r="B340" s="32"/>
      <c r="C340" s="4"/>
      <c r="D340" s="45"/>
      <c r="E340" s="33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24" customHeight="1" x14ac:dyDescent="0.25">
      <c r="A341" s="4"/>
      <c r="B341" s="32"/>
      <c r="C341" s="4"/>
      <c r="D341" s="45"/>
      <c r="E341" s="33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24" customHeight="1" x14ac:dyDescent="0.25">
      <c r="A342" s="4"/>
      <c r="B342" s="32"/>
      <c r="C342" s="4"/>
      <c r="D342" s="45"/>
      <c r="E342" s="33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24" customHeight="1" x14ac:dyDescent="0.25">
      <c r="A343" s="4"/>
      <c r="B343" s="32"/>
      <c r="C343" s="4"/>
      <c r="D343" s="45"/>
      <c r="E343" s="33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24" customHeight="1" x14ac:dyDescent="0.25">
      <c r="A344" s="4"/>
      <c r="B344" s="32"/>
      <c r="C344" s="4"/>
      <c r="D344" s="45"/>
      <c r="E344" s="33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24" customHeight="1" x14ac:dyDescent="0.25">
      <c r="A345" s="4"/>
      <c r="B345" s="32"/>
      <c r="C345" s="4"/>
      <c r="D345" s="45"/>
      <c r="E345" s="33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24" customHeight="1" x14ac:dyDescent="0.25">
      <c r="A346" s="4"/>
      <c r="B346" s="32"/>
      <c r="C346" s="4"/>
      <c r="D346" s="45"/>
      <c r="E346" s="33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24" customHeight="1" x14ac:dyDescent="0.25">
      <c r="A347" s="4"/>
      <c r="B347" s="32"/>
      <c r="C347" s="4"/>
      <c r="D347" s="45"/>
      <c r="E347" s="33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24" customHeight="1" x14ac:dyDescent="0.25">
      <c r="A348" s="4"/>
      <c r="B348" s="32"/>
      <c r="C348" s="4"/>
      <c r="D348" s="45"/>
      <c r="E348" s="33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24" customHeight="1" x14ac:dyDescent="0.25">
      <c r="A349" s="4"/>
      <c r="B349" s="32"/>
      <c r="C349" s="4"/>
      <c r="D349" s="45"/>
      <c r="E349" s="33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24" customHeight="1" x14ac:dyDescent="0.25">
      <c r="A350" s="4"/>
      <c r="B350" s="32"/>
      <c r="C350" s="4"/>
      <c r="D350" s="45"/>
      <c r="E350" s="33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24" customHeight="1" x14ac:dyDescent="0.25">
      <c r="A351" s="4"/>
      <c r="B351" s="32"/>
      <c r="C351" s="4"/>
      <c r="D351" s="45"/>
      <c r="E351" s="33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24" customHeight="1" x14ac:dyDescent="0.25">
      <c r="A352" s="4"/>
      <c r="B352" s="32"/>
      <c r="C352" s="4"/>
      <c r="D352" s="45"/>
      <c r="E352" s="33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24" customHeight="1" x14ac:dyDescent="0.25">
      <c r="A353" s="4"/>
      <c r="B353" s="32"/>
      <c r="C353" s="4"/>
      <c r="D353" s="45"/>
      <c r="E353" s="33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24" customHeight="1" x14ac:dyDescent="0.25">
      <c r="A354" s="4"/>
      <c r="B354" s="32"/>
      <c r="C354" s="4"/>
      <c r="D354" s="45"/>
      <c r="E354" s="33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24" customHeight="1" x14ac:dyDescent="0.25">
      <c r="A355" s="4"/>
      <c r="B355" s="32"/>
      <c r="C355" s="4"/>
      <c r="D355" s="45"/>
      <c r="E355" s="33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24" customHeight="1" x14ac:dyDescent="0.25">
      <c r="A356" s="4"/>
      <c r="B356" s="32"/>
      <c r="C356" s="4"/>
      <c r="D356" s="45"/>
      <c r="E356" s="33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24" customHeight="1" x14ac:dyDescent="0.25">
      <c r="A357" s="4"/>
      <c r="B357" s="32"/>
      <c r="C357" s="4"/>
      <c r="D357" s="45"/>
      <c r="E357" s="33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24" customHeight="1" x14ac:dyDescent="0.25">
      <c r="A358" s="4"/>
      <c r="B358" s="32"/>
      <c r="C358" s="4"/>
      <c r="D358" s="45"/>
      <c r="E358" s="33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24" customHeight="1" x14ac:dyDescent="0.25">
      <c r="A359" s="4"/>
      <c r="B359" s="32"/>
      <c r="C359" s="4"/>
      <c r="D359" s="45"/>
      <c r="E359" s="33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24" customHeight="1" x14ac:dyDescent="0.25">
      <c r="A360" s="4"/>
      <c r="B360" s="32"/>
      <c r="C360" s="4"/>
      <c r="D360" s="45"/>
      <c r="E360" s="33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24" customHeight="1" x14ac:dyDescent="0.25">
      <c r="A361" s="4"/>
      <c r="B361" s="32"/>
      <c r="C361" s="4"/>
      <c r="D361" s="45"/>
      <c r="E361" s="33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24" customHeight="1" x14ac:dyDescent="0.25">
      <c r="A362" s="4"/>
      <c r="B362" s="32"/>
      <c r="C362" s="4"/>
      <c r="D362" s="45"/>
      <c r="E362" s="33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24" customHeight="1" x14ac:dyDescent="0.25">
      <c r="A363" s="4"/>
      <c r="B363" s="32"/>
      <c r="C363" s="4"/>
      <c r="D363" s="45"/>
      <c r="E363" s="33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24" customHeight="1" x14ac:dyDescent="0.25">
      <c r="A364" s="4"/>
      <c r="B364" s="32"/>
      <c r="C364" s="4"/>
      <c r="D364" s="45"/>
      <c r="E364" s="33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24" customHeight="1" x14ac:dyDescent="0.25">
      <c r="A365" s="4"/>
      <c r="B365" s="32"/>
      <c r="C365" s="4"/>
      <c r="D365" s="45"/>
      <c r="E365" s="33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24" customHeight="1" x14ac:dyDescent="0.25">
      <c r="A366" s="4"/>
      <c r="B366" s="32"/>
      <c r="C366" s="4"/>
      <c r="D366" s="45"/>
      <c r="E366" s="33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24" customHeight="1" x14ac:dyDescent="0.25">
      <c r="A367" s="4"/>
      <c r="B367" s="32"/>
      <c r="C367" s="4"/>
      <c r="D367" s="45"/>
      <c r="E367" s="33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24" customHeight="1" x14ac:dyDescent="0.25">
      <c r="A368" s="4"/>
      <c r="B368" s="32"/>
      <c r="C368" s="4"/>
      <c r="D368" s="45"/>
      <c r="E368" s="33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24" customHeight="1" x14ac:dyDescent="0.25">
      <c r="A369" s="4"/>
      <c r="B369" s="32"/>
      <c r="C369" s="4"/>
      <c r="D369" s="45"/>
      <c r="E369" s="33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24" customHeight="1" x14ac:dyDescent="0.25">
      <c r="A370" s="4"/>
      <c r="B370" s="32"/>
      <c r="C370" s="4"/>
      <c r="D370" s="45"/>
      <c r="E370" s="33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24" customHeight="1" x14ac:dyDescent="0.25">
      <c r="A371" s="4"/>
      <c r="B371" s="32"/>
      <c r="C371" s="4"/>
      <c r="D371" s="45"/>
      <c r="E371" s="33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24" customHeight="1" x14ac:dyDescent="0.25">
      <c r="A372" s="4"/>
      <c r="B372" s="32"/>
      <c r="C372" s="4"/>
      <c r="D372" s="45"/>
      <c r="E372" s="33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24" customHeight="1" x14ac:dyDescent="0.25">
      <c r="A373" s="4"/>
      <c r="B373" s="32"/>
      <c r="C373" s="4"/>
      <c r="D373" s="45"/>
      <c r="E373" s="33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24" customHeight="1" x14ac:dyDescent="0.25">
      <c r="A374" s="4"/>
      <c r="B374" s="32"/>
      <c r="C374" s="4"/>
      <c r="D374" s="45"/>
      <c r="E374" s="33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24" customHeight="1" x14ac:dyDescent="0.25">
      <c r="A375" s="4"/>
      <c r="B375" s="32"/>
      <c r="C375" s="4"/>
      <c r="D375" s="45"/>
      <c r="E375" s="33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24" customHeight="1" x14ac:dyDescent="0.25">
      <c r="A376" s="4"/>
      <c r="B376" s="32"/>
      <c r="C376" s="4"/>
      <c r="D376" s="45"/>
      <c r="E376" s="33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24" customHeight="1" x14ac:dyDescent="0.25">
      <c r="A377" s="4"/>
      <c r="B377" s="32"/>
      <c r="C377" s="4"/>
      <c r="D377" s="45"/>
      <c r="E377" s="33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24" customHeight="1" x14ac:dyDescent="0.25">
      <c r="A378" s="4"/>
      <c r="B378" s="32"/>
      <c r="C378" s="4"/>
      <c r="D378" s="45"/>
      <c r="E378" s="33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24" customHeight="1" x14ac:dyDescent="0.25">
      <c r="A379" s="4"/>
      <c r="B379" s="32"/>
      <c r="C379" s="4"/>
      <c r="D379" s="45"/>
      <c r="E379" s="33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24" customHeight="1" x14ac:dyDescent="0.25">
      <c r="A380" s="4"/>
      <c r="B380" s="32"/>
      <c r="C380" s="4"/>
      <c r="D380" s="45"/>
      <c r="E380" s="33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24" customHeight="1" x14ac:dyDescent="0.25">
      <c r="A381" s="4"/>
      <c r="B381" s="32"/>
      <c r="C381" s="4"/>
      <c r="D381" s="45"/>
      <c r="E381" s="33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24" customHeight="1" x14ac:dyDescent="0.25">
      <c r="A382" s="4"/>
      <c r="B382" s="32"/>
      <c r="C382" s="4"/>
      <c r="D382" s="45"/>
      <c r="E382" s="33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24" customHeight="1" x14ac:dyDescent="0.25">
      <c r="A383" s="4"/>
      <c r="B383" s="32"/>
      <c r="C383" s="4"/>
      <c r="D383" s="45"/>
      <c r="E383" s="33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24" customHeight="1" x14ac:dyDescent="0.25">
      <c r="A384" s="4"/>
      <c r="B384" s="32"/>
      <c r="C384" s="4"/>
      <c r="D384" s="45"/>
      <c r="E384" s="33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24" customHeight="1" x14ac:dyDescent="0.25">
      <c r="A385" s="4"/>
      <c r="B385" s="32"/>
      <c r="C385" s="4"/>
      <c r="D385" s="45"/>
      <c r="E385" s="33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24" customHeight="1" x14ac:dyDescent="0.25">
      <c r="A386" s="4"/>
      <c r="B386" s="32"/>
      <c r="C386" s="4"/>
      <c r="D386" s="45"/>
      <c r="E386" s="33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24" customHeight="1" x14ac:dyDescent="0.25">
      <c r="A387" s="4"/>
      <c r="B387" s="32"/>
      <c r="C387" s="4"/>
      <c r="D387" s="45"/>
      <c r="E387" s="33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24" customHeight="1" x14ac:dyDescent="0.25">
      <c r="A388" s="4"/>
      <c r="B388" s="32"/>
      <c r="C388" s="4"/>
      <c r="D388" s="45"/>
      <c r="E388" s="33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24" customHeight="1" x14ac:dyDescent="0.25">
      <c r="A389" s="4"/>
      <c r="B389" s="32"/>
      <c r="C389" s="4"/>
      <c r="D389" s="45"/>
      <c r="E389" s="33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24" customHeight="1" x14ac:dyDescent="0.25">
      <c r="A390" s="4"/>
      <c r="B390" s="32"/>
      <c r="C390" s="4"/>
      <c r="D390" s="45"/>
      <c r="E390" s="33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24" customHeight="1" x14ac:dyDescent="0.25">
      <c r="A391" s="4"/>
      <c r="B391" s="32"/>
      <c r="C391" s="4"/>
      <c r="D391" s="45"/>
      <c r="E391" s="33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24" customHeight="1" x14ac:dyDescent="0.25">
      <c r="A392" s="4"/>
      <c r="B392" s="32"/>
      <c r="C392" s="4"/>
      <c r="D392" s="45"/>
      <c r="E392" s="33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24" customHeight="1" x14ac:dyDescent="0.25">
      <c r="A393" s="4"/>
      <c r="B393" s="32"/>
      <c r="C393" s="4"/>
      <c r="D393" s="45"/>
      <c r="E393" s="33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24" customHeight="1" x14ac:dyDescent="0.25">
      <c r="A394" s="4"/>
      <c r="B394" s="32"/>
      <c r="C394" s="4"/>
      <c r="D394" s="45"/>
      <c r="E394" s="33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24" customHeight="1" x14ac:dyDescent="0.25">
      <c r="A395" s="4"/>
      <c r="B395" s="32"/>
      <c r="C395" s="4"/>
      <c r="D395" s="45"/>
      <c r="E395" s="33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24" customHeight="1" x14ac:dyDescent="0.25">
      <c r="A396" s="4"/>
      <c r="B396" s="32"/>
      <c r="C396" s="4"/>
      <c r="D396" s="45"/>
      <c r="E396" s="33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24" customHeight="1" x14ac:dyDescent="0.25">
      <c r="A397" s="4"/>
      <c r="B397" s="32"/>
      <c r="C397" s="4"/>
      <c r="D397" s="45"/>
      <c r="E397" s="33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24" customHeight="1" x14ac:dyDescent="0.25">
      <c r="A398" s="4"/>
      <c r="B398" s="32"/>
      <c r="C398" s="4"/>
      <c r="D398" s="45"/>
      <c r="E398" s="33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24" customHeight="1" x14ac:dyDescent="0.25">
      <c r="A399" s="4"/>
      <c r="B399" s="32"/>
      <c r="C399" s="4"/>
      <c r="D399" s="45"/>
      <c r="E399" s="33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24" customHeight="1" x14ac:dyDescent="0.25">
      <c r="A400" s="4"/>
      <c r="B400" s="32"/>
      <c r="C400" s="4"/>
      <c r="D400" s="45"/>
      <c r="E400" s="33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24" customHeight="1" x14ac:dyDescent="0.25">
      <c r="A401" s="4"/>
      <c r="B401" s="32"/>
      <c r="C401" s="4"/>
      <c r="D401" s="45"/>
      <c r="E401" s="33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24" customHeight="1" x14ac:dyDescent="0.25">
      <c r="A402" s="4"/>
      <c r="B402" s="32"/>
      <c r="C402" s="4"/>
      <c r="D402" s="45"/>
      <c r="E402" s="33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24" customHeight="1" x14ac:dyDescent="0.25">
      <c r="A403" s="4"/>
      <c r="B403" s="32"/>
      <c r="C403" s="4"/>
      <c r="D403" s="45"/>
      <c r="E403" s="33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24" customHeight="1" x14ac:dyDescent="0.25">
      <c r="A404" s="4"/>
      <c r="B404" s="32"/>
      <c r="C404" s="4"/>
      <c r="D404" s="45"/>
      <c r="E404" s="33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24" customHeight="1" x14ac:dyDescent="0.25">
      <c r="A405" s="4"/>
      <c r="B405" s="32"/>
      <c r="C405" s="4"/>
      <c r="D405" s="45"/>
      <c r="E405" s="33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24" customHeight="1" x14ac:dyDescent="0.25">
      <c r="A406" s="4"/>
      <c r="B406" s="32"/>
      <c r="C406" s="4"/>
      <c r="D406" s="45"/>
      <c r="E406" s="33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24" customHeight="1" x14ac:dyDescent="0.25">
      <c r="A407" s="4"/>
      <c r="B407" s="32"/>
      <c r="C407" s="4"/>
      <c r="D407" s="45"/>
      <c r="E407" s="33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24" customHeight="1" x14ac:dyDescent="0.25">
      <c r="A408" s="4"/>
      <c r="B408" s="32"/>
      <c r="C408" s="4"/>
      <c r="D408" s="45"/>
      <c r="E408" s="33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24" customHeight="1" x14ac:dyDescent="0.25">
      <c r="A409" s="4"/>
      <c r="B409" s="32"/>
      <c r="C409" s="4"/>
      <c r="D409" s="45"/>
      <c r="E409" s="33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24" customHeight="1" x14ac:dyDescent="0.25">
      <c r="A410" s="4"/>
      <c r="B410" s="32"/>
      <c r="C410" s="4"/>
      <c r="D410" s="45"/>
      <c r="E410" s="33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24" customHeight="1" x14ac:dyDescent="0.25">
      <c r="A411" s="4"/>
      <c r="B411" s="32"/>
      <c r="C411" s="4"/>
      <c r="D411" s="45"/>
      <c r="E411" s="33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24" customHeight="1" x14ac:dyDescent="0.25">
      <c r="A412" s="4"/>
      <c r="B412" s="32"/>
      <c r="C412" s="4"/>
      <c r="D412" s="45"/>
      <c r="E412" s="33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24" customHeight="1" x14ac:dyDescent="0.25">
      <c r="A413" s="4"/>
      <c r="B413" s="32"/>
      <c r="C413" s="4"/>
      <c r="D413" s="45"/>
      <c r="E413" s="33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24" customHeight="1" x14ac:dyDescent="0.25">
      <c r="A414" s="4"/>
      <c r="B414" s="32"/>
      <c r="C414" s="4"/>
      <c r="D414" s="45"/>
      <c r="E414" s="33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24" customHeight="1" x14ac:dyDescent="0.25">
      <c r="A415" s="4"/>
      <c r="B415" s="32"/>
      <c r="C415" s="4"/>
      <c r="D415" s="45"/>
      <c r="E415" s="33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24" customHeight="1" x14ac:dyDescent="0.25">
      <c r="A416" s="4"/>
      <c r="B416" s="32"/>
      <c r="C416" s="4"/>
      <c r="D416" s="45"/>
      <c r="E416" s="33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24" customHeight="1" x14ac:dyDescent="0.25">
      <c r="A417" s="4"/>
      <c r="B417" s="32"/>
      <c r="C417" s="4"/>
      <c r="D417" s="45"/>
      <c r="E417" s="33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24" customHeight="1" x14ac:dyDescent="0.25">
      <c r="A418" s="4"/>
      <c r="B418" s="32"/>
      <c r="C418" s="4"/>
      <c r="D418" s="45"/>
      <c r="E418" s="33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24" customHeight="1" x14ac:dyDescent="0.25">
      <c r="A419" s="4"/>
      <c r="B419" s="32"/>
      <c r="C419" s="4"/>
      <c r="D419" s="45"/>
      <c r="E419" s="33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24" customHeight="1" x14ac:dyDescent="0.25">
      <c r="A420" s="4"/>
      <c r="B420" s="32"/>
      <c r="C420" s="4"/>
      <c r="D420" s="45"/>
      <c r="E420" s="33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24" customHeight="1" x14ac:dyDescent="0.25">
      <c r="A421" s="4"/>
      <c r="B421" s="32"/>
      <c r="C421" s="4"/>
      <c r="D421" s="45"/>
      <c r="E421" s="33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24" customHeight="1" x14ac:dyDescent="0.25">
      <c r="A422" s="4"/>
      <c r="B422" s="32"/>
      <c r="C422" s="4"/>
      <c r="D422" s="45"/>
      <c r="E422" s="33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24" customHeight="1" x14ac:dyDescent="0.25">
      <c r="A423" s="4"/>
      <c r="B423" s="32"/>
      <c r="C423" s="4"/>
      <c r="D423" s="45"/>
      <c r="E423" s="33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24" customHeight="1" x14ac:dyDescent="0.25">
      <c r="A424" s="4"/>
      <c r="B424" s="32"/>
      <c r="C424" s="4"/>
      <c r="D424" s="45"/>
      <c r="E424" s="33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24" customHeight="1" x14ac:dyDescent="0.25">
      <c r="A425" s="4"/>
      <c r="B425" s="32"/>
      <c r="C425" s="4"/>
      <c r="D425" s="45"/>
      <c r="E425" s="33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24" customHeight="1" x14ac:dyDescent="0.25">
      <c r="A426" s="4"/>
      <c r="B426" s="32"/>
      <c r="C426" s="4"/>
      <c r="D426" s="45"/>
      <c r="E426" s="33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24" customHeight="1" x14ac:dyDescent="0.25">
      <c r="A427" s="4"/>
      <c r="B427" s="32"/>
      <c r="C427" s="4"/>
      <c r="D427" s="45"/>
      <c r="E427" s="33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24" customHeight="1" x14ac:dyDescent="0.25">
      <c r="A428" s="4"/>
      <c r="B428" s="32"/>
      <c r="C428" s="4"/>
      <c r="D428" s="45"/>
      <c r="E428" s="33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24" customHeight="1" x14ac:dyDescent="0.25">
      <c r="A429" s="4"/>
      <c r="B429" s="32"/>
      <c r="C429" s="4"/>
      <c r="D429" s="45"/>
      <c r="E429" s="33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24" customHeight="1" x14ac:dyDescent="0.25">
      <c r="A430" s="4"/>
      <c r="B430" s="32"/>
      <c r="C430" s="4"/>
      <c r="D430" s="45"/>
      <c r="E430" s="33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24" customHeight="1" x14ac:dyDescent="0.25">
      <c r="A431" s="4"/>
      <c r="B431" s="32"/>
      <c r="C431" s="4"/>
      <c r="D431" s="45"/>
      <c r="E431" s="33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24" customHeight="1" x14ac:dyDescent="0.25">
      <c r="A432" s="4"/>
      <c r="B432" s="32"/>
      <c r="C432" s="4"/>
      <c r="D432" s="45"/>
      <c r="E432" s="33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24" customHeight="1" x14ac:dyDescent="0.25">
      <c r="A433" s="4"/>
      <c r="B433" s="32"/>
      <c r="C433" s="4"/>
      <c r="D433" s="45"/>
      <c r="E433" s="33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24" customHeight="1" x14ac:dyDescent="0.25">
      <c r="A434" s="4"/>
      <c r="B434" s="32"/>
      <c r="C434" s="4"/>
      <c r="D434" s="45"/>
      <c r="E434" s="33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24" customHeight="1" x14ac:dyDescent="0.25">
      <c r="A435" s="4"/>
      <c r="B435" s="32"/>
      <c r="C435" s="4"/>
      <c r="D435" s="45"/>
      <c r="E435" s="33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24" customHeight="1" x14ac:dyDescent="0.25">
      <c r="A436" s="4"/>
      <c r="B436" s="32"/>
      <c r="C436" s="4"/>
      <c r="D436" s="45"/>
      <c r="E436" s="33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24" customHeight="1" x14ac:dyDescent="0.25">
      <c r="A437" s="4"/>
      <c r="B437" s="32"/>
      <c r="C437" s="4"/>
      <c r="D437" s="45"/>
      <c r="E437" s="33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24" customHeight="1" x14ac:dyDescent="0.25">
      <c r="A438" s="4"/>
      <c r="B438" s="32"/>
      <c r="C438" s="4"/>
      <c r="D438" s="45"/>
      <c r="E438" s="33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24" customHeight="1" x14ac:dyDescent="0.25">
      <c r="A439" s="4"/>
      <c r="B439" s="32"/>
      <c r="C439" s="4"/>
      <c r="D439" s="45"/>
      <c r="E439" s="33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24" customHeight="1" x14ac:dyDescent="0.25">
      <c r="A440" s="4"/>
      <c r="B440" s="32"/>
      <c r="C440" s="4"/>
      <c r="D440" s="45"/>
      <c r="E440" s="33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24" customHeight="1" x14ac:dyDescent="0.25">
      <c r="A441" s="4"/>
      <c r="B441" s="32"/>
      <c r="C441" s="4"/>
      <c r="D441" s="45"/>
      <c r="E441" s="33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24" customHeight="1" x14ac:dyDescent="0.25">
      <c r="A442" s="4"/>
      <c r="B442" s="32"/>
      <c r="C442" s="4"/>
      <c r="D442" s="45"/>
      <c r="E442" s="33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24" customHeight="1" x14ac:dyDescent="0.25">
      <c r="A443" s="4"/>
      <c r="B443" s="32"/>
      <c r="C443" s="4"/>
      <c r="D443" s="45"/>
      <c r="E443" s="33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24" customHeight="1" x14ac:dyDescent="0.25">
      <c r="A444" s="4"/>
      <c r="B444" s="32"/>
      <c r="C444" s="4"/>
      <c r="D444" s="45"/>
      <c r="E444" s="33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24" customHeight="1" x14ac:dyDescent="0.25">
      <c r="A445" s="4"/>
      <c r="B445" s="32"/>
      <c r="C445" s="4"/>
      <c r="D445" s="45"/>
      <c r="E445" s="33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24" customHeight="1" x14ac:dyDescent="0.25">
      <c r="A446" s="4"/>
      <c r="B446" s="32"/>
      <c r="C446" s="4"/>
      <c r="D446" s="45"/>
      <c r="E446" s="33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24" customHeight="1" x14ac:dyDescent="0.25">
      <c r="A447" s="4"/>
      <c r="B447" s="32"/>
      <c r="C447" s="4"/>
      <c r="D447" s="45"/>
      <c r="E447" s="33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24" customHeight="1" x14ac:dyDescent="0.25">
      <c r="A448" s="4"/>
      <c r="B448" s="32"/>
      <c r="C448" s="4"/>
      <c r="D448" s="45"/>
      <c r="E448" s="33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24" customHeight="1" x14ac:dyDescent="0.25">
      <c r="A449" s="4"/>
      <c r="B449" s="32"/>
      <c r="C449" s="4"/>
      <c r="D449" s="45"/>
      <c r="E449" s="33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24" customHeight="1" x14ac:dyDescent="0.25">
      <c r="A450" s="4"/>
      <c r="B450" s="32"/>
      <c r="C450" s="4"/>
      <c r="D450" s="45"/>
      <c r="E450" s="33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24" customHeight="1" x14ac:dyDescent="0.25">
      <c r="A451" s="4"/>
      <c r="B451" s="32"/>
      <c r="C451" s="4"/>
      <c r="D451" s="45"/>
      <c r="E451" s="33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24" customHeight="1" x14ac:dyDescent="0.25">
      <c r="A452" s="4"/>
      <c r="B452" s="32"/>
      <c r="C452" s="4"/>
      <c r="D452" s="45"/>
      <c r="E452" s="33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24" customHeight="1" x14ac:dyDescent="0.25">
      <c r="A453" s="4"/>
      <c r="B453" s="32"/>
      <c r="C453" s="4"/>
      <c r="D453" s="45"/>
      <c r="E453" s="33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24" customHeight="1" x14ac:dyDescent="0.25">
      <c r="A454" s="4"/>
      <c r="B454" s="32"/>
      <c r="C454" s="4"/>
      <c r="D454" s="45"/>
      <c r="E454" s="33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24" customHeight="1" x14ac:dyDescent="0.25">
      <c r="A455" s="4"/>
      <c r="B455" s="32"/>
      <c r="C455" s="4"/>
      <c r="D455" s="45"/>
      <c r="E455" s="33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24" customHeight="1" x14ac:dyDescent="0.25">
      <c r="A456" s="4"/>
      <c r="B456" s="32"/>
      <c r="C456" s="4"/>
      <c r="D456" s="45"/>
      <c r="E456" s="33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24" customHeight="1" x14ac:dyDescent="0.25">
      <c r="A457" s="4"/>
      <c r="B457" s="32"/>
      <c r="C457" s="4"/>
      <c r="D457" s="45"/>
      <c r="E457" s="33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24" customHeight="1" x14ac:dyDescent="0.25">
      <c r="A458" s="4"/>
      <c r="B458" s="32"/>
      <c r="C458" s="4"/>
      <c r="D458" s="45"/>
      <c r="E458" s="33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24" customHeight="1" x14ac:dyDescent="0.25">
      <c r="A459" s="4"/>
      <c r="B459" s="32"/>
      <c r="C459" s="4"/>
      <c r="D459" s="45"/>
      <c r="E459" s="33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24" customHeight="1" x14ac:dyDescent="0.25">
      <c r="A460" s="4"/>
      <c r="B460" s="32"/>
      <c r="C460" s="4"/>
      <c r="D460" s="45"/>
      <c r="E460" s="33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24" customHeight="1" x14ac:dyDescent="0.25">
      <c r="A461" s="4"/>
      <c r="B461" s="32"/>
      <c r="C461" s="4"/>
      <c r="D461" s="45"/>
      <c r="E461" s="33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24" customHeight="1" x14ac:dyDescent="0.25">
      <c r="A462" s="4"/>
      <c r="B462" s="32"/>
      <c r="C462" s="4"/>
      <c r="D462" s="45"/>
      <c r="E462" s="33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24" customHeight="1" x14ac:dyDescent="0.25">
      <c r="A463" s="4"/>
      <c r="B463" s="32"/>
      <c r="C463" s="4"/>
      <c r="D463" s="45"/>
      <c r="E463" s="33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24" customHeight="1" x14ac:dyDescent="0.25">
      <c r="A464" s="4"/>
      <c r="B464" s="32"/>
      <c r="C464" s="4"/>
      <c r="D464" s="45"/>
      <c r="E464" s="33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24" customHeight="1" x14ac:dyDescent="0.25">
      <c r="A465" s="4"/>
      <c r="B465" s="32"/>
      <c r="C465" s="4"/>
      <c r="D465" s="45"/>
      <c r="E465" s="33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24" customHeight="1" x14ac:dyDescent="0.25">
      <c r="A466" s="4"/>
      <c r="B466" s="32"/>
      <c r="C466" s="4"/>
      <c r="D466" s="45"/>
      <c r="E466" s="33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24" customHeight="1" x14ac:dyDescent="0.25">
      <c r="A467" s="4"/>
      <c r="B467" s="32"/>
      <c r="C467" s="4"/>
      <c r="D467" s="45"/>
      <c r="E467" s="33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24" customHeight="1" x14ac:dyDescent="0.25">
      <c r="A468" s="4"/>
      <c r="B468" s="32"/>
      <c r="C468" s="4"/>
      <c r="D468" s="45"/>
      <c r="E468" s="33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24" customHeight="1" x14ac:dyDescent="0.25">
      <c r="A469" s="4"/>
      <c r="B469" s="32"/>
      <c r="C469" s="4"/>
      <c r="D469" s="45"/>
      <c r="E469" s="33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24" customHeight="1" x14ac:dyDescent="0.25">
      <c r="A470" s="4"/>
      <c r="B470" s="32"/>
      <c r="C470" s="4"/>
      <c r="D470" s="45"/>
      <c r="E470" s="33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24" customHeight="1" x14ac:dyDescent="0.25">
      <c r="A471" s="4"/>
      <c r="B471" s="32"/>
      <c r="C471" s="4"/>
      <c r="D471" s="45"/>
      <c r="E471" s="33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24" customHeight="1" x14ac:dyDescent="0.25">
      <c r="A472" s="4"/>
      <c r="B472" s="32"/>
      <c r="C472" s="4"/>
      <c r="D472" s="45"/>
      <c r="E472" s="33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24" customHeight="1" x14ac:dyDescent="0.25">
      <c r="A473" s="4"/>
      <c r="B473" s="32"/>
      <c r="C473" s="4"/>
      <c r="D473" s="45"/>
      <c r="E473" s="33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24" customHeight="1" x14ac:dyDescent="0.25">
      <c r="A474" s="4"/>
      <c r="B474" s="32"/>
      <c r="C474" s="4"/>
      <c r="D474" s="45"/>
      <c r="E474" s="33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24" customHeight="1" x14ac:dyDescent="0.25">
      <c r="A475" s="4"/>
      <c r="B475" s="32"/>
      <c r="C475" s="4"/>
      <c r="D475" s="45"/>
      <c r="E475" s="33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24" customHeight="1" x14ac:dyDescent="0.25">
      <c r="A476" s="4"/>
      <c r="B476" s="32"/>
      <c r="C476" s="4"/>
      <c r="D476" s="45"/>
      <c r="E476" s="33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24" customHeight="1" x14ac:dyDescent="0.25">
      <c r="A477" s="4"/>
      <c r="B477" s="32"/>
      <c r="C477" s="4"/>
      <c r="D477" s="45"/>
      <c r="E477" s="33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24" customHeight="1" x14ac:dyDescent="0.25">
      <c r="A478" s="4"/>
      <c r="B478" s="32"/>
      <c r="C478" s="4"/>
      <c r="D478" s="45"/>
      <c r="E478" s="33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24" customHeight="1" x14ac:dyDescent="0.25">
      <c r="A479" s="4"/>
      <c r="B479" s="32"/>
      <c r="C479" s="4"/>
      <c r="D479" s="45"/>
      <c r="E479" s="33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24" customHeight="1" x14ac:dyDescent="0.25">
      <c r="A480" s="4"/>
      <c r="B480" s="32"/>
      <c r="C480" s="4"/>
      <c r="D480" s="45"/>
      <c r="E480" s="33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24" customHeight="1" x14ac:dyDescent="0.25">
      <c r="A481" s="4"/>
      <c r="B481" s="32"/>
      <c r="C481" s="4"/>
      <c r="D481" s="45"/>
      <c r="E481" s="33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24" customHeight="1" x14ac:dyDescent="0.25">
      <c r="A482" s="4"/>
      <c r="B482" s="32"/>
      <c r="C482" s="4"/>
      <c r="D482" s="45"/>
      <c r="E482" s="33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24" customHeight="1" x14ac:dyDescent="0.25">
      <c r="A483" s="4"/>
      <c r="B483" s="32"/>
      <c r="C483" s="4"/>
      <c r="D483" s="45"/>
      <c r="E483" s="33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24" customHeight="1" x14ac:dyDescent="0.25">
      <c r="A484" s="4"/>
      <c r="B484" s="32"/>
      <c r="C484" s="4"/>
      <c r="D484" s="45"/>
      <c r="E484" s="33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24" customHeight="1" x14ac:dyDescent="0.25">
      <c r="A485" s="4"/>
      <c r="B485" s="32"/>
      <c r="C485" s="4"/>
      <c r="D485" s="45"/>
      <c r="E485" s="33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24" customHeight="1" x14ac:dyDescent="0.25">
      <c r="A486" s="4"/>
      <c r="B486" s="32"/>
      <c r="C486" s="4"/>
      <c r="D486" s="45"/>
      <c r="E486" s="33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24" customHeight="1" x14ac:dyDescent="0.25">
      <c r="A487" s="4"/>
      <c r="B487" s="32"/>
      <c r="C487" s="4"/>
      <c r="D487" s="45"/>
      <c r="E487" s="33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24" customHeight="1" x14ac:dyDescent="0.25">
      <c r="A488" s="4"/>
      <c r="B488" s="32"/>
      <c r="C488" s="4"/>
      <c r="D488" s="45"/>
      <c r="E488" s="33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24" customHeight="1" x14ac:dyDescent="0.25">
      <c r="A489" s="4"/>
      <c r="B489" s="32"/>
      <c r="C489" s="4"/>
      <c r="D489" s="45"/>
      <c r="E489" s="33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24" customHeight="1" x14ac:dyDescent="0.25">
      <c r="A490" s="4"/>
      <c r="B490" s="32"/>
      <c r="C490" s="4"/>
      <c r="D490" s="45"/>
      <c r="E490" s="33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24" customHeight="1" x14ac:dyDescent="0.25">
      <c r="A491" s="4"/>
      <c r="B491" s="32"/>
      <c r="C491" s="4"/>
      <c r="D491" s="45"/>
      <c r="E491" s="33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24" customHeight="1" x14ac:dyDescent="0.25">
      <c r="A492" s="4"/>
      <c r="B492" s="32"/>
      <c r="C492" s="4"/>
      <c r="D492" s="45"/>
      <c r="E492" s="33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24" customHeight="1" x14ac:dyDescent="0.25">
      <c r="A493" s="4"/>
      <c r="B493" s="32"/>
      <c r="C493" s="4"/>
      <c r="D493" s="45"/>
      <c r="E493" s="33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24" customHeight="1" x14ac:dyDescent="0.25">
      <c r="A494" s="4"/>
      <c r="B494" s="32"/>
      <c r="C494" s="4"/>
      <c r="D494" s="45"/>
      <c r="E494" s="33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24" customHeight="1" x14ac:dyDescent="0.25">
      <c r="A495" s="4"/>
      <c r="B495" s="32"/>
      <c r="C495" s="4"/>
      <c r="D495" s="45"/>
      <c r="E495" s="33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24" customHeight="1" x14ac:dyDescent="0.25">
      <c r="A496" s="4"/>
      <c r="B496" s="32"/>
      <c r="C496" s="4"/>
      <c r="D496" s="45"/>
      <c r="E496" s="33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24" customHeight="1" x14ac:dyDescent="0.25">
      <c r="A497" s="4"/>
      <c r="B497" s="32"/>
      <c r="C497" s="4"/>
      <c r="D497" s="45"/>
      <c r="E497" s="33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24" customHeight="1" x14ac:dyDescent="0.25">
      <c r="A498" s="4"/>
      <c r="B498" s="32"/>
      <c r="C498" s="4"/>
      <c r="D498" s="45"/>
      <c r="E498" s="33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24" customHeight="1" x14ac:dyDescent="0.25">
      <c r="A499" s="4"/>
      <c r="B499" s="32"/>
      <c r="C499" s="4"/>
      <c r="D499" s="45"/>
      <c r="E499" s="33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24" customHeight="1" x14ac:dyDescent="0.25">
      <c r="A500" s="4"/>
      <c r="B500" s="32"/>
      <c r="C500" s="4"/>
      <c r="D500" s="45"/>
      <c r="E500" s="33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24" customHeight="1" x14ac:dyDescent="0.25">
      <c r="A501" s="4"/>
      <c r="B501" s="32"/>
      <c r="C501" s="4"/>
      <c r="D501" s="45"/>
      <c r="E501" s="33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24" customHeight="1" x14ac:dyDescent="0.25">
      <c r="A502" s="4"/>
      <c r="B502" s="32"/>
      <c r="C502" s="4"/>
      <c r="D502" s="45"/>
      <c r="E502" s="33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24" customHeight="1" x14ac:dyDescent="0.25">
      <c r="A503" s="4"/>
      <c r="B503" s="32"/>
      <c r="C503" s="4"/>
      <c r="D503" s="45"/>
      <c r="E503" s="33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24" customHeight="1" x14ac:dyDescent="0.25">
      <c r="A504" s="4"/>
      <c r="B504" s="32"/>
      <c r="C504" s="4"/>
      <c r="D504" s="45"/>
      <c r="E504" s="33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24" customHeight="1" x14ac:dyDescent="0.25">
      <c r="A505" s="4"/>
      <c r="B505" s="32"/>
      <c r="C505" s="4"/>
      <c r="D505" s="45"/>
      <c r="E505" s="33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24" customHeight="1" x14ac:dyDescent="0.25">
      <c r="A506" s="4"/>
      <c r="B506" s="32"/>
      <c r="C506" s="4"/>
      <c r="D506" s="45"/>
      <c r="E506" s="33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24" customHeight="1" x14ac:dyDescent="0.25">
      <c r="A507" s="4"/>
      <c r="B507" s="32"/>
      <c r="C507" s="4"/>
      <c r="D507" s="45"/>
      <c r="E507" s="33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24" customHeight="1" x14ac:dyDescent="0.25">
      <c r="A508" s="4"/>
      <c r="B508" s="32"/>
      <c r="C508" s="4"/>
      <c r="D508" s="45"/>
      <c r="E508" s="33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24" customHeight="1" x14ac:dyDescent="0.25">
      <c r="A509" s="4"/>
      <c r="B509" s="32"/>
      <c r="C509" s="4"/>
      <c r="D509" s="45"/>
      <c r="E509" s="33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24" customHeight="1" x14ac:dyDescent="0.25">
      <c r="A510" s="4"/>
      <c r="B510" s="32"/>
      <c r="C510" s="4"/>
      <c r="D510" s="45"/>
      <c r="E510" s="33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24" customHeight="1" x14ac:dyDescent="0.25">
      <c r="A511" s="4"/>
      <c r="B511" s="32"/>
      <c r="C511" s="4"/>
      <c r="D511" s="45"/>
      <c r="E511" s="33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24" customHeight="1" x14ac:dyDescent="0.25">
      <c r="A512" s="4"/>
      <c r="B512" s="32"/>
      <c r="C512" s="4"/>
      <c r="D512" s="45"/>
      <c r="E512" s="33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24" customHeight="1" x14ac:dyDescent="0.25">
      <c r="A513" s="4"/>
      <c r="B513" s="32"/>
      <c r="C513" s="4"/>
      <c r="D513" s="45"/>
      <c r="E513" s="33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24" customHeight="1" x14ac:dyDescent="0.25">
      <c r="A514" s="4"/>
      <c r="B514" s="32"/>
      <c r="C514" s="4"/>
      <c r="D514" s="45"/>
      <c r="E514" s="33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24" customHeight="1" x14ac:dyDescent="0.25">
      <c r="A515" s="4"/>
      <c r="B515" s="32"/>
      <c r="C515" s="4"/>
      <c r="D515" s="45"/>
      <c r="E515" s="33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24" customHeight="1" x14ac:dyDescent="0.25">
      <c r="A516" s="4"/>
      <c r="B516" s="32"/>
      <c r="C516" s="4"/>
      <c r="D516" s="45"/>
      <c r="E516" s="33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24" customHeight="1" x14ac:dyDescent="0.25">
      <c r="A517" s="4"/>
      <c r="B517" s="32"/>
      <c r="C517" s="4"/>
      <c r="D517" s="45"/>
      <c r="E517" s="33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24" customHeight="1" x14ac:dyDescent="0.25">
      <c r="A518" s="4"/>
      <c r="B518" s="32"/>
      <c r="C518" s="4"/>
      <c r="D518" s="45"/>
      <c r="E518" s="33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24" customHeight="1" x14ac:dyDescent="0.25">
      <c r="A519" s="4"/>
      <c r="B519" s="32"/>
      <c r="C519" s="4"/>
      <c r="D519" s="45"/>
      <c r="E519" s="33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24" customHeight="1" x14ac:dyDescent="0.25">
      <c r="A520" s="4"/>
      <c r="B520" s="32"/>
      <c r="C520" s="4"/>
      <c r="D520" s="45"/>
      <c r="E520" s="33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24" customHeight="1" x14ac:dyDescent="0.25">
      <c r="A521" s="4"/>
      <c r="B521" s="32"/>
      <c r="C521" s="4"/>
      <c r="D521" s="45"/>
      <c r="E521" s="33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24" customHeight="1" x14ac:dyDescent="0.25">
      <c r="A522" s="4"/>
      <c r="B522" s="32"/>
      <c r="C522" s="4"/>
      <c r="D522" s="45"/>
      <c r="E522" s="33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24" customHeight="1" x14ac:dyDescent="0.25">
      <c r="A523" s="4"/>
      <c r="B523" s="32"/>
      <c r="C523" s="4"/>
      <c r="D523" s="45"/>
      <c r="E523" s="33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24" customHeight="1" x14ac:dyDescent="0.25">
      <c r="A524" s="4"/>
      <c r="B524" s="32"/>
      <c r="C524" s="4"/>
      <c r="D524" s="45"/>
      <c r="E524" s="33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24" customHeight="1" x14ac:dyDescent="0.25">
      <c r="A525" s="4"/>
      <c r="B525" s="32"/>
      <c r="C525" s="4"/>
      <c r="D525" s="45"/>
      <c r="E525" s="33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24" customHeight="1" x14ac:dyDescent="0.25">
      <c r="A526" s="4"/>
      <c r="B526" s="32"/>
      <c r="C526" s="4"/>
      <c r="D526" s="45"/>
      <c r="E526" s="33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24" customHeight="1" x14ac:dyDescent="0.25">
      <c r="A527" s="4"/>
      <c r="B527" s="32"/>
      <c r="C527" s="4"/>
      <c r="D527" s="45"/>
      <c r="E527" s="33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24" customHeight="1" x14ac:dyDescent="0.25">
      <c r="A528" s="4"/>
      <c r="B528" s="32"/>
      <c r="C528" s="4"/>
      <c r="D528" s="45"/>
      <c r="E528" s="33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24" customHeight="1" x14ac:dyDescent="0.25">
      <c r="A529" s="4"/>
      <c r="B529" s="32"/>
      <c r="C529" s="4"/>
      <c r="D529" s="45"/>
      <c r="E529" s="33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24" customHeight="1" x14ac:dyDescent="0.25">
      <c r="A530" s="4"/>
      <c r="B530" s="32"/>
      <c r="C530" s="4"/>
      <c r="D530" s="45"/>
      <c r="E530" s="33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24" customHeight="1" x14ac:dyDescent="0.25">
      <c r="A531" s="4"/>
      <c r="B531" s="32"/>
      <c r="C531" s="4"/>
      <c r="D531" s="45"/>
      <c r="E531" s="33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24" customHeight="1" x14ac:dyDescent="0.25">
      <c r="A532" s="4"/>
      <c r="B532" s="32"/>
      <c r="C532" s="4"/>
      <c r="D532" s="45"/>
      <c r="E532" s="33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24" customHeight="1" x14ac:dyDescent="0.25">
      <c r="A533" s="4"/>
      <c r="B533" s="32"/>
      <c r="C533" s="4"/>
      <c r="D533" s="45"/>
      <c r="E533" s="33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24" customHeight="1" x14ac:dyDescent="0.25">
      <c r="A534" s="4"/>
      <c r="B534" s="32"/>
      <c r="C534" s="4"/>
      <c r="D534" s="45"/>
      <c r="E534" s="33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24" customHeight="1" x14ac:dyDescent="0.25">
      <c r="A535" s="4"/>
      <c r="B535" s="32"/>
      <c r="C535" s="4"/>
      <c r="D535" s="45"/>
      <c r="E535" s="33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24" customHeight="1" x14ac:dyDescent="0.25">
      <c r="A536" s="4"/>
      <c r="B536" s="32"/>
      <c r="C536" s="4"/>
      <c r="D536" s="45"/>
      <c r="E536" s="33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24" customHeight="1" x14ac:dyDescent="0.25">
      <c r="A537" s="4"/>
      <c r="B537" s="32"/>
      <c r="C537" s="4"/>
      <c r="D537" s="45"/>
      <c r="E537" s="33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24" customHeight="1" x14ac:dyDescent="0.25">
      <c r="A538" s="4"/>
      <c r="B538" s="32"/>
      <c r="C538" s="4"/>
      <c r="D538" s="45"/>
      <c r="E538" s="33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24" customHeight="1" x14ac:dyDescent="0.25">
      <c r="A539" s="4"/>
      <c r="B539" s="32"/>
      <c r="C539" s="4"/>
      <c r="D539" s="45"/>
      <c r="E539" s="33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24" customHeight="1" x14ac:dyDescent="0.25">
      <c r="A540" s="4"/>
      <c r="B540" s="32"/>
      <c r="C540" s="4"/>
      <c r="D540" s="45"/>
      <c r="E540" s="33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24" customHeight="1" x14ac:dyDescent="0.25">
      <c r="A541" s="4"/>
      <c r="B541" s="32"/>
      <c r="C541" s="4"/>
      <c r="D541" s="45"/>
      <c r="E541" s="33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24" customHeight="1" x14ac:dyDescent="0.25">
      <c r="A542" s="4"/>
      <c r="B542" s="32"/>
      <c r="C542" s="4"/>
      <c r="D542" s="45"/>
      <c r="E542" s="33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24" customHeight="1" x14ac:dyDescent="0.25">
      <c r="A543" s="4"/>
      <c r="B543" s="32"/>
      <c r="C543" s="4"/>
      <c r="D543" s="45"/>
      <c r="E543" s="33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24" customHeight="1" x14ac:dyDescent="0.25">
      <c r="A544" s="4"/>
      <c r="B544" s="32"/>
      <c r="C544" s="4"/>
      <c r="D544" s="45"/>
      <c r="E544" s="33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24" customHeight="1" x14ac:dyDescent="0.25">
      <c r="A545" s="4"/>
      <c r="B545" s="32"/>
      <c r="C545" s="4"/>
      <c r="D545" s="45"/>
      <c r="E545" s="33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24" customHeight="1" x14ac:dyDescent="0.25">
      <c r="A546" s="4"/>
      <c r="B546" s="32"/>
      <c r="C546" s="4"/>
      <c r="D546" s="45"/>
      <c r="E546" s="33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24" customHeight="1" x14ac:dyDescent="0.25">
      <c r="A547" s="4"/>
      <c r="B547" s="32"/>
      <c r="C547" s="4"/>
      <c r="D547" s="45"/>
      <c r="E547" s="33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24" customHeight="1" x14ac:dyDescent="0.25">
      <c r="A548" s="4"/>
      <c r="B548" s="32"/>
      <c r="C548" s="4"/>
      <c r="D548" s="45"/>
      <c r="E548" s="33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24" customHeight="1" x14ac:dyDescent="0.25">
      <c r="A549" s="4"/>
      <c r="B549" s="32"/>
      <c r="C549" s="4"/>
      <c r="D549" s="45"/>
      <c r="E549" s="33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24" customHeight="1" x14ac:dyDescent="0.25">
      <c r="A550" s="4"/>
      <c r="B550" s="32"/>
      <c r="C550" s="4"/>
      <c r="D550" s="45"/>
      <c r="E550" s="33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24" customHeight="1" x14ac:dyDescent="0.25">
      <c r="A551" s="4"/>
      <c r="B551" s="32"/>
      <c r="C551" s="4"/>
      <c r="D551" s="45"/>
      <c r="E551" s="33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24" customHeight="1" x14ac:dyDescent="0.25">
      <c r="A552" s="4"/>
      <c r="B552" s="32"/>
      <c r="C552" s="4"/>
      <c r="D552" s="45"/>
      <c r="E552" s="33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24" customHeight="1" x14ac:dyDescent="0.25">
      <c r="A553" s="4"/>
      <c r="B553" s="32"/>
      <c r="C553" s="4"/>
      <c r="D553" s="45"/>
      <c r="E553" s="33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24" customHeight="1" x14ac:dyDescent="0.25">
      <c r="A554" s="4"/>
      <c r="B554" s="32"/>
      <c r="C554" s="4"/>
      <c r="D554" s="45"/>
      <c r="E554" s="33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24" customHeight="1" x14ac:dyDescent="0.25">
      <c r="A555" s="4"/>
      <c r="B555" s="32"/>
      <c r="C555" s="4"/>
      <c r="D555" s="45"/>
      <c r="E555" s="33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24" customHeight="1" x14ac:dyDescent="0.25">
      <c r="A556" s="4"/>
      <c r="B556" s="32"/>
      <c r="C556" s="4"/>
      <c r="D556" s="45"/>
      <c r="E556" s="33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24" customHeight="1" x14ac:dyDescent="0.25">
      <c r="A557" s="4"/>
      <c r="B557" s="32"/>
      <c r="C557" s="4"/>
      <c r="D557" s="45"/>
      <c r="E557" s="33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24" customHeight="1" x14ac:dyDescent="0.25">
      <c r="A558" s="4"/>
      <c r="B558" s="32"/>
      <c r="C558" s="4"/>
      <c r="D558" s="45"/>
      <c r="E558" s="33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24" customHeight="1" x14ac:dyDescent="0.25">
      <c r="A559" s="4"/>
      <c r="B559" s="32"/>
      <c r="C559" s="4"/>
      <c r="D559" s="45"/>
      <c r="E559" s="33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24" customHeight="1" x14ac:dyDescent="0.25">
      <c r="A560" s="4"/>
      <c r="B560" s="32"/>
      <c r="C560" s="4"/>
      <c r="D560" s="45"/>
      <c r="E560" s="33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24" customHeight="1" x14ac:dyDescent="0.25">
      <c r="A561" s="4"/>
      <c r="B561" s="32"/>
      <c r="C561" s="4"/>
      <c r="D561" s="45"/>
      <c r="E561" s="33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24" customHeight="1" x14ac:dyDescent="0.25">
      <c r="A562" s="4"/>
      <c r="B562" s="32"/>
      <c r="C562" s="4"/>
      <c r="D562" s="45"/>
      <c r="E562" s="33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24" customHeight="1" x14ac:dyDescent="0.25">
      <c r="A563" s="4"/>
      <c r="B563" s="32"/>
      <c r="C563" s="4"/>
      <c r="D563" s="45"/>
      <c r="E563" s="33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24" customHeight="1" x14ac:dyDescent="0.25">
      <c r="A564" s="4"/>
      <c r="B564" s="32"/>
      <c r="C564" s="4"/>
      <c r="D564" s="45"/>
      <c r="E564" s="33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24" customHeight="1" x14ac:dyDescent="0.25">
      <c r="A565" s="4"/>
      <c r="B565" s="32"/>
      <c r="C565" s="4"/>
      <c r="D565" s="45"/>
      <c r="E565" s="33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24" customHeight="1" x14ac:dyDescent="0.25">
      <c r="A566" s="4"/>
      <c r="B566" s="32"/>
      <c r="C566" s="4"/>
      <c r="D566" s="45"/>
      <c r="E566" s="33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24" customHeight="1" x14ac:dyDescent="0.25">
      <c r="A567" s="4"/>
      <c r="B567" s="32"/>
      <c r="C567" s="4"/>
      <c r="D567" s="45"/>
      <c r="E567" s="33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24" customHeight="1" x14ac:dyDescent="0.25">
      <c r="A568" s="4"/>
      <c r="B568" s="32"/>
      <c r="C568" s="4"/>
      <c r="D568" s="45"/>
      <c r="E568" s="33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24" customHeight="1" x14ac:dyDescent="0.25">
      <c r="A569" s="4"/>
      <c r="B569" s="32"/>
      <c r="C569" s="4"/>
      <c r="D569" s="45"/>
      <c r="E569" s="33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24" customHeight="1" x14ac:dyDescent="0.25">
      <c r="A570" s="4"/>
      <c r="B570" s="32"/>
      <c r="C570" s="4"/>
      <c r="D570" s="45"/>
      <c r="E570" s="33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24" customHeight="1" x14ac:dyDescent="0.25">
      <c r="A571" s="4"/>
      <c r="B571" s="32"/>
      <c r="C571" s="4"/>
      <c r="D571" s="45"/>
      <c r="E571" s="33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24" customHeight="1" x14ac:dyDescent="0.25">
      <c r="A572" s="4"/>
      <c r="B572" s="32"/>
      <c r="C572" s="4"/>
      <c r="D572" s="45"/>
      <c r="E572" s="33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24" customHeight="1" x14ac:dyDescent="0.25">
      <c r="A573" s="4"/>
      <c r="B573" s="32"/>
      <c r="C573" s="4"/>
      <c r="D573" s="45"/>
      <c r="E573" s="33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24" customHeight="1" x14ac:dyDescent="0.25">
      <c r="A574" s="4"/>
      <c r="B574" s="32"/>
      <c r="C574" s="4"/>
      <c r="D574" s="45"/>
      <c r="E574" s="33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24" customHeight="1" x14ac:dyDescent="0.25">
      <c r="A575" s="4"/>
      <c r="B575" s="32"/>
      <c r="C575" s="4"/>
      <c r="D575" s="45"/>
      <c r="E575" s="33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24" customHeight="1" x14ac:dyDescent="0.25">
      <c r="A576" s="4"/>
      <c r="B576" s="32"/>
      <c r="C576" s="4"/>
      <c r="D576" s="45"/>
      <c r="E576" s="33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24" customHeight="1" x14ac:dyDescent="0.25">
      <c r="A577" s="4"/>
      <c r="B577" s="32"/>
      <c r="C577" s="4"/>
      <c r="D577" s="45"/>
      <c r="E577" s="33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24" customHeight="1" x14ac:dyDescent="0.25">
      <c r="A578" s="4"/>
      <c r="B578" s="32"/>
      <c r="C578" s="4"/>
      <c r="D578" s="45"/>
      <c r="E578" s="33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24" customHeight="1" x14ac:dyDescent="0.25">
      <c r="A579" s="4"/>
      <c r="B579" s="32"/>
      <c r="C579" s="4"/>
      <c r="D579" s="45"/>
      <c r="E579" s="33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24" customHeight="1" x14ac:dyDescent="0.25">
      <c r="A580" s="4"/>
      <c r="B580" s="32"/>
      <c r="C580" s="4"/>
      <c r="D580" s="45"/>
      <c r="E580" s="33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24" customHeight="1" x14ac:dyDescent="0.25">
      <c r="A581" s="4"/>
      <c r="B581" s="32"/>
      <c r="C581" s="4"/>
      <c r="D581" s="45"/>
      <c r="E581" s="33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24" customHeight="1" x14ac:dyDescent="0.25">
      <c r="A582" s="4"/>
      <c r="B582" s="32"/>
      <c r="C582" s="4"/>
      <c r="D582" s="45"/>
      <c r="E582" s="33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24" customHeight="1" x14ac:dyDescent="0.25">
      <c r="A583" s="4"/>
      <c r="B583" s="32"/>
      <c r="C583" s="4"/>
      <c r="D583" s="45"/>
      <c r="E583" s="33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24" customHeight="1" x14ac:dyDescent="0.25">
      <c r="A584" s="4"/>
      <c r="B584" s="32"/>
      <c r="C584" s="4"/>
      <c r="D584" s="45"/>
      <c r="E584" s="33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24" customHeight="1" x14ac:dyDescent="0.25">
      <c r="A585" s="4"/>
      <c r="B585" s="32"/>
      <c r="C585" s="4"/>
      <c r="D585" s="45"/>
      <c r="E585" s="33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24" customHeight="1" x14ac:dyDescent="0.25">
      <c r="A586" s="4"/>
      <c r="B586" s="32"/>
      <c r="C586" s="4"/>
      <c r="D586" s="45"/>
      <c r="E586" s="33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24" customHeight="1" x14ac:dyDescent="0.25">
      <c r="A587" s="4"/>
      <c r="B587" s="32"/>
      <c r="C587" s="4"/>
      <c r="D587" s="45"/>
      <c r="E587" s="33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24" customHeight="1" x14ac:dyDescent="0.25">
      <c r="A588" s="4"/>
      <c r="B588" s="32"/>
      <c r="C588" s="4"/>
      <c r="D588" s="45"/>
      <c r="E588" s="33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24" customHeight="1" x14ac:dyDescent="0.25">
      <c r="A589" s="4"/>
      <c r="B589" s="32"/>
      <c r="C589" s="4"/>
      <c r="D589" s="45"/>
      <c r="E589" s="33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24" customHeight="1" x14ac:dyDescent="0.25">
      <c r="A590" s="4"/>
      <c r="B590" s="32"/>
      <c r="C590" s="4"/>
      <c r="D590" s="45"/>
      <c r="E590" s="33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24" customHeight="1" x14ac:dyDescent="0.25">
      <c r="A591" s="4"/>
      <c r="B591" s="32"/>
      <c r="C591" s="4"/>
      <c r="D591" s="45"/>
      <c r="E591" s="33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24" customHeight="1" x14ac:dyDescent="0.25">
      <c r="A592" s="4"/>
      <c r="B592" s="32"/>
      <c r="C592" s="4"/>
      <c r="D592" s="45"/>
      <c r="E592" s="33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24" customHeight="1" x14ac:dyDescent="0.25">
      <c r="A593" s="4"/>
      <c r="B593" s="32"/>
      <c r="C593" s="4"/>
      <c r="D593" s="45"/>
      <c r="E593" s="33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24" customHeight="1" x14ac:dyDescent="0.25">
      <c r="A594" s="4"/>
      <c r="B594" s="32"/>
      <c r="C594" s="4"/>
      <c r="D594" s="45"/>
      <c r="E594" s="33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24" customHeight="1" x14ac:dyDescent="0.25">
      <c r="A595" s="4"/>
      <c r="B595" s="32"/>
      <c r="C595" s="4"/>
      <c r="D595" s="45"/>
      <c r="E595" s="33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24" customHeight="1" x14ac:dyDescent="0.25">
      <c r="A596" s="4"/>
      <c r="B596" s="32"/>
      <c r="C596" s="4"/>
      <c r="D596" s="45"/>
      <c r="E596" s="33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24" customHeight="1" x14ac:dyDescent="0.25">
      <c r="A597" s="4"/>
      <c r="B597" s="32"/>
      <c r="C597" s="4"/>
      <c r="D597" s="45"/>
      <c r="E597" s="33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24" customHeight="1" x14ac:dyDescent="0.25">
      <c r="A598" s="4"/>
      <c r="B598" s="32"/>
      <c r="C598" s="4"/>
      <c r="D598" s="45"/>
      <c r="E598" s="33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24" customHeight="1" x14ac:dyDescent="0.25">
      <c r="A599" s="4"/>
      <c r="B599" s="32"/>
      <c r="C599" s="4"/>
      <c r="D599" s="45"/>
      <c r="E599" s="33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24" customHeight="1" x14ac:dyDescent="0.25">
      <c r="A600" s="4"/>
      <c r="B600" s="32"/>
      <c r="C600" s="4"/>
      <c r="D600" s="45"/>
      <c r="E600" s="33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24" customHeight="1" x14ac:dyDescent="0.25">
      <c r="A601" s="4"/>
      <c r="B601" s="32"/>
      <c r="C601" s="4"/>
      <c r="D601" s="45"/>
      <c r="E601" s="33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24" customHeight="1" x14ac:dyDescent="0.25">
      <c r="A602" s="4"/>
      <c r="B602" s="32"/>
      <c r="C602" s="4"/>
      <c r="D602" s="45"/>
      <c r="E602" s="33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24" customHeight="1" x14ac:dyDescent="0.25">
      <c r="A603" s="4"/>
      <c r="B603" s="32"/>
      <c r="C603" s="4"/>
      <c r="D603" s="45"/>
      <c r="E603" s="33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24" customHeight="1" x14ac:dyDescent="0.25">
      <c r="A604" s="4"/>
      <c r="B604" s="32"/>
      <c r="C604" s="4"/>
      <c r="D604" s="45"/>
      <c r="E604" s="33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24" customHeight="1" x14ac:dyDescent="0.25">
      <c r="A605" s="4"/>
      <c r="B605" s="32"/>
      <c r="C605" s="4"/>
      <c r="D605" s="45"/>
      <c r="E605" s="33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24" customHeight="1" x14ac:dyDescent="0.25">
      <c r="A606" s="4"/>
      <c r="B606" s="32"/>
      <c r="C606" s="4"/>
      <c r="D606" s="45"/>
      <c r="E606" s="33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24" customHeight="1" x14ac:dyDescent="0.25">
      <c r="A607" s="4"/>
      <c r="B607" s="32"/>
      <c r="C607" s="4"/>
      <c r="D607" s="45"/>
      <c r="E607" s="33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24" customHeight="1" x14ac:dyDescent="0.25">
      <c r="A608" s="4"/>
      <c r="B608" s="32"/>
      <c r="C608" s="4"/>
      <c r="D608" s="45"/>
      <c r="E608" s="33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24" customHeight="1" x14ac:dyDescent="0.25">
      <c r="A609" s="4"/>
      <c r="B609" s="32"/>
      <c r="C609" s="4"/>
      <c r="D609" s="45"/>
      <c r="E609" s="33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24" customHeight="1" x14ac:dyDescent="0.25">
      <c r="A610" s="4"/>
      <c r="B610" s="32"/>
      <c r="C610" s="4"/>
      <c r="D610" s="45"/>
      <c r="E610" s="33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24" customHeight="1" x14ac:dyDescent="0.25">
      <c r="A611" s="4"/>
      <c r="B611" s="32"/>
      <c r="C611" s="4"/>
      <c r="D611" s="45"/>
      <c r="E611" s="33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24" customHeight="1" x14ac:dyDescent="0.25">
      <c r="A612" s="4"/>
      <c r="B612" s="32"/>
      <c r="C612" s="4"/>
      <c r="D612" s="45"/>
      <c r="E612" s="33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24" customHeight="1" x14ac:dyDescent="0.25">
      <c r="A613" s="4"/>
      <c r="B613" s="32"/>
      <c r="C613" s="4"/>
      <c r="D613" s="45"/>
      <c r="E613" s="33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24" customHeight="1" x14ac:dyDescent="0.25">
      <c r="A614" s="4"/>
      <c r="B614" s="32"/>
      <c r="C614" s="4"/>
      <c r="D614" s="45"/>
      <c r="E614" s="33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24" customHeight="1" x14ac:dyDescent="0.25">
      <c r="A615" s="4"/>
      <c r="B615" s="32"/>
      <c r="C615" s="4"/>
      <c r="D615" s="45"/>
      <c r="E615" s="33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24" customHeight="1" x14ac:dyDescent="0.25">
      <c r="A616" s="4"/>
      <c r="B616" s="32"/>
      <c r="C616" s="4"/>
      <c r="D616" s="45"/>
      <c r="E616" s="33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24" customHeight="1" x14ac:dyDescent="0.25">
      <c r="A617" s="4"/>
      <c r="B617" s="32"/>
      <c r="C617" s="4"/>
      <c r="D617" s="45"/>
      <c r="E617" s="33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24" customHeight="1" x14ac:dyDescent="0.25">
      <c r="A618" s="4"/>
      <c r="B618" s="32"/>
      <c r="C618" s="4"/>
      <c r="D618" s="45"/>
      <c r="E618" s="33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24" customHeight="1" x14ac:dyDescent="0.25">
      <c r="A619" s="4"/>
      <c r="B619" s="32"/>
      <c r="C619" s="4"/>
      <c r="D619" s="45"/>
      <c r="E619" s="33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24" customHeight="1" x14ac:dyDescent="0.25">
      <c r="A620" s="4"/>
      <c r="B620" s="32"/>
      <c r="C620" s="4"/>
      <c r="D620" s="45"/>
      <c r="E620" s="33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24" customHeight="1" x14ac:dyDescent="0.25">
      <c r="A621" s="4"/>
      <c r="B621" s="32"/>
      <c r="C621" s="4"/>
      <c r="D621" s="45"/>
      <c r="E621" s="33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24" customHeight="1" x14ac:dyDescent="0.25">
      <c r="A622" s="4"/>
      <c r="B622" s="32"/>
      <c r="C622" s="4"/>
      <c r="D622" s="45"/>
      <c r="E622" s="33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24" customHeight="1" x14ac:dyDescent="0.25">
      <c r="A623" s="4"/>
      <c r="B623" s="32"/>
      <c r="C623" s="4"/>
      <c r="D623" s="45"/>
      <c r="E623" s="33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24" customHeight="1" x14ac:dyDescent="0.25">
      <c r="A624" s="4"/>
      <c r="B624" s="32"/>
      <c r="C624" s="4"/>
      <c r="D624" s="45"/>
      <c r="E624" s="33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24" customHeight="1" x14ac:dyDescent="0.25">
      <c r="A625" s="4"/>
      <c r="B625" s="32"/>
      <c r="C625" s="4"/>
      <c r="D625" s="45"/>
      <c r="E625" s="33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24" customHeight="1" x14ac:dyDescent="0.25">
      <c r="A626" s="4"/>
      <c r="B626" s="32"/>
      <c r="C626" s="4"/>
      <c r="D626" s="45"/>
      <c r="E626" s="33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24" customHeight="1" x14ac:dyDescent="0.25">
      <c r="A627" s="4"/>
      <c r="B627" s="32"/>
      <c r="C627" s="4"/>
      <c r="D627" s="45"/>
      <c r="E627" s="33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24" customHeight="1" x14ac:dyDescent="0.25">
      <c r="A628" s="4"/>
      <c r="B628" s="32"/>
      <c r="C628" s="4"/>
      <c r="D628" s="45"/>
      <c r="E628" s="33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24" customHeight="1" x14ac:dyDescent="0.25">
      <c r="A629" s="4"/>
      <c r="B629" s="32"/>
      <c r="C629" s="4"/>
      <c r="D629" s="45"/>
      <c r="E629" s="33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24" customHeight="1" x14ac:dyDescent="0.25">
      <c r="A630" s="4"/>
      <c r="B630" s="32"/>
      <c r="C630" s="4"/>
      <c r="D630" s="45"/>
      <c r="E630" s="33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24" customHeight="1" x14ac:dyDescent="0.25">
      <c r="A631" s="4"/>
      <c r="B631" s="32"/>
      <c r="C631" s="4"/>
      <c r="D631" s="45"/>
      <c r="E631" s="33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24" customHeight="1" x14ac:dyDescent="0.25">
      <c r="A632" s="4"/>
      <c r="B632" s="32"/>
      <c r="C632" s="4"/>
      <c r="D632" s="45"/>
      <c r="E632" s="33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24" customHeight="1" x14ac:dyDescent="0.25">
      <c r="A633" s="4"/>
      <c r="B633" s="32"/>
      <c r="C633" s="4"/>
      <c r="D633" s="45"/>
      <c r="E633" s="33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24" customHeight="1" x14ac:dyDescent="0.25">
      <c r="A634" s="4"/>
      <c r="B634" s="32"/>
      <c r="C634" s="4"/>
      <c r="D634" s="45"/>
      <c r="E634" s="33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24" customHeight="1" x14ac:dyDescent="0.25">
      <c r="A635" s="4"/>
      <c r="B635" s="32"/>
      <c r="C635" s="4"/>
      <c r="D635" s="45"/>
      <c r="E635" s="33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24" customHeight="1" x14ac:dyDescent="0.25">
      <c r="A636" s="4"/>
      <c r="B636" s="32"/>
      <c r="C636" s="4"/>
      <c r="D636" s="45"/>
      <c r="E636" s="33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24" customHeight="1" x14ac:dyDescent="0.25">
      <c r="A637" s="4"/>
      <c r="B637" s="32"/>
      <c r="C637" s="4"/>
      <c r="D637" s="45"/>
      <c r="E637" s="33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24" customHeight="1" x14ac:dyDescent="0.25">
      <c r="A638" s="4"/>
      <c r="B638" s="32"/>
      <c r="C638" s="4"/>
      <c r="D638" s="45"/>
      <c r="E638" s="33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24" customHeight="1" x14ac:dyDescent="0.25">
      <c r="A639" s="4"/>
      <c r="B639" s="32"/>
      <c r="C639" s="4"/>
      <c r="D639" s="45"/>
      <c r="E639" s="33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24" customHeight="1" x14ac:dyDescent="0.25">
      <c r="A640" s="4"/>
      <c r="B640" s="32"/>
      <c r="C640" s="4"/>
      <c r="D640" s="45"/>
      <c r="E640" s="33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24" customHeight="1" x14ac:dyDescent="0.25">
      <c r="A641" s="4"/>
      <c r="B641" s="32"/>
      <c r="C641" s="4"/>
      <c r="D641" s="45"/>
      <c r="E641" s="33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24" customHeight="1" x14ac:dyDescent="0.25">
      <c r="A642" s="4"/>
      <c r="B642" s="32"/>
      <c r="C642" s="4"/>
      <c r="D642" s="45"/>
      <c r="E642" s="33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24" customHeight="1" x14ac:dyDescent="0.25">
      <c r="A643" s="4"/>
      <c r="B643" s="32"/>
      <c r="C643" s="4"/>
      <c r="D643" s="45"/>
      <c r="E643" s="33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24" customHeight="1" x14ac:dyDescent="0.25">
      <c r="A644" s="4"/>
      <c r="B644" s="32"/>
      <c r="C644" s="4"/>
      <c r="D644" s="45"/>
      <c r="E644" s="33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24" customHeight="1" x14ac:dyDescent="0.25">
      <c r="A645" s="4"/>
      <c r="B645" s="32"/>
      <c r="C645" s="4"/>
      <c r="D645" s="45"/>
      <c r="E645" s="33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24" customHeight="1" x14ac:dyDescent="0.25">
      <c r="A646" s="4"/>
      <c r="B646" s="32"/>
      <c r="C646" s="4"/>
      <c r="D646" s="45"/>
      <c r="E646" s="33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24" customHeight="1" x14ac:dyDescent="0.25">
      <c r="A647" s="4"/>
      <c r="B647" s="32"/>
      <c r="C647" s="4"/>
      <c r="D647" s="45"/>
      <c r="E647" s="33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24" customHeight="1" x14ac:dyDescent="0.25">
      <c r="A648" s="4"/>
      <c r="B648" s="32"/>
      <c r="C648" s="4"/>
      <c r="D648" s="45"/>
      <c r="E648" s="33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24" customHeight="1" x14ac:dyDescent="0.25">
      <c r="A649" s="4"/>
      <c r="B649" s="32"/>
      <c r="C649" s="4"/>
      <c r="D649" s="45"/>
      <c r="E649" s="33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24" customHeight="1" x14ac:dyDescent="0.25">
      <c r="A650" s="4"/>
      <c r="B650" s="32"/>
      <c r="C650" s="4"/>
      <c r="D650" s="45"/>
      <c r="E650" s="33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24" customHeight="1" x14ac:dyDescent="0.25">
      <c r="A651" s="4"/>
      <c r="B651" s="32"/>
      <c r="C651" s="4"/>
      <c r="D651" s="45"/>
      <c r="E651" s="33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24" customHeight="1" x14ac:dyDescent="0.25">
      <c r="A652" s="4"/>
      <c r="B652" s="32"/>
      <c r="C652" s="4"/>
      <c r="D652" s="45"/>
      <c r="E652" s="33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24" customHeight="1" x14ac:dyDescent="0.25">
      <c r="A653" s="4"/>
      <c r="B653" s="32"/>
      <c r="C653" s="4"/>
      <c r="D653" s="45"/>
      <c r="E653" s="33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24" customHeight="1" x14ac:dyDescent="0.25">
      <c r="A654" s="4"/>
      <c r="B654" s="32"/>
      <c r="C654" s="4"/>
      <c r="D654" s="45"/>
      <c r="E654" s="33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24" customHeight="1" x14ac:dyDescent="0.25">
      <c r="A655" s="4"/>
      <c r="B655" s="32"/>
      <c r="C655" s="4"/>
      <c r="D655" s="45"/>
      <c r="E655" s="33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24" customHeight="1" x14ac:dyDescent="0.25">
      <c r="A656" s="4"/>
      <c r="B656" s="32"/>
      <c r="C656" s="4"/>
      <c r="D656" s="45"/>
      <c r="E656" s="33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24" customHeight="1" x14ac:dyDescent="0.25">
      <c r="A657" s="4"/>
      <c r="B657" s="32"/>
      <c r="C657" s="4"/>
      <c r="D657" s="45"/>
      <c r="E657" s="33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24" customHeight="1" x14ac:dyDescent="0.25">
      <c r="A658" s="4"/>
      <c r="B658" s="32"/>
      <c r="C658" s="4"/>
      <c r="D658" s="45"/>
      <c r="E658" s="33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24" customHeight="1" x14ac:dyDescent="0.25">
      <c r="A659" s="4"/>
      <c r="B659" s="32"/>
      <c r="C659" s="4"/>
      <c r="D659" s="45"/>
      <c r="E659" s="33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24" customHeight="1" x14ac:dyDescent="0.25">
      <c r="A660" s="4"/>
      <c r="B660" s="32"/>
      <c r="C660" s="4"/>
      <c r="D660" s="45"/>
      <c r="E660" s="33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24" customHeight="1" x14ac:dyDescent="0.25">
      <c r="A661" s="4"/>
      <c r="B661" s="32"/>
      <c r="C661" s="4"/>
      <c r="D661" s="45"/>
      <c r="E661" s="33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24" customHeight="1" x14ac:dyDescent="0.25">
      <c r="A662" s="4"/>
      <c r="B662" s="32"/>
      <c r="C662" s="4"/>
      <c r="D662" s="45"/>
      <c r="E662" s="33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24" customHeight="1" x14ac:dyDescent="0.25">
      <c r="A663" s="4"/>
      <c r="B663" s="32"/>
      <c r="C663" s="4"/>
      <c r="D663" s="45"/>
      <c r="E663" s="33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24" customHeight="1" x14ac:dyDescent="0.25">
      <c r="A664" s="4"/>
      <c r="B664" s="32"/>
      <c r="C664" s="4"/>
      <c r="D664" s="45"/>
      <c r="E664" s="33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24" customHeight="1" x14ac:dyDescent="0.25">
      <c r="A665" s="4"/>
      <c r="B665" s="32"/>
      <c r="C665" s="4"/>
      <c r="D665" s="45"/>
      <c r="E665" s="33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24" customHeight="1" x14ac:dyDescent="0.25">
      <c r="A666" s="4"/>
      <c r="B666" s="32"/>
      <c r="C666" s="4"/>
      <c r="D666" s="45"/>
      <c r="E666" s="33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24" customHeight="1" x14ac:dyDescent="0.25">
      <c r="A667" s="4"/>
      <c r="B667" s="32"/>
      <c r="C667" s="4"/>
      <c r="D667" s="45"/>
      <c r="E667" s="33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24" customHeight="1" x14ac:dyDescent="0.25">
      <c r="A668" s="4"/>
      <c r="B668" s="32"/>
      <c r="C668" s="4"/>
      <c r="D668" s="45"/>
      <c r="E668" s="33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24" customHeight="1" x14ac:dyDescent="0.25">
      <c r="A669" s="4"/>
      <c r="B669" s="32"/>
      <c r="C669" s="4"/>
      <c r="D669" s="45"/>
      <c r="E669" s="33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24" customHeight="1" x14ac:dyDescent="0.25">
      <c r="A670" s="4"/>
      <c r="B670" s="32"/>
      <c r="C670" s="4"/>
      <c r="D670" s="45"/>
      <c r="E670" s="33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24" customHeight="1" x14ac:dyDescent="0.25">
      <c r="A671" s="4"/>
      <c r="B671" s="32"/>
      <c r="C671" s="4"/>
      <c r="D671" s="45"/>
      <c r="E671" s="33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24" customHeight="1" x14ac:dyDescent="0.25">
      <c r="A672" s="4"/>
      <c r="B672" s="32"/>
      <c r="C672" s="4"/>
      <c r="D672" s="45"/>
      <c r="E672" s="33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24" customHeight="1" x14ac:dyDescent="0.25">
      <c r="A673" s="4"/>
      <c r="B673" s="32"/>
      <c r="C673" s="4"/>
      <c r="D673" s="45"/>
      <c r="E673" s="33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24" customHeight="1" x14ac:dyDescent="0.25">
      <c r="A674" s="4"/>
      <c r="B674" s="32"/>
      <c r="C674" s="4"/>
      <c r="D674" s="45"/>
      <c r="E674" s="33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24" customHeight="1" x14ac:dyDescent="0.25">
      <c r="A675" s="4"/>
      <c r="B675" s="32"/>
      <c r="C675" s="4"/>
      <c r="D675" s="45"/>
      <c r="E675" s="33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24" customHeight="1" x14ac:dyDescent="0.25">
      <c r="A676" s="4"/>
      <c r="B676" s="32"/>
      <c r="C676" s="4"/>
      <c r="D676" s="45"/>
      <c r="E676" s="33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24" customHeight="1" x14ac:dyDescent="0.25">
      <c r="A677" s="4"/>
      <c r="B677" s="32"/>
      <c r="C677" s="4"/>
      <c r="D677" s="45"/>
      <c r="E677" s="33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24" customHeight="1" x14ac:dyDescent="0.25">
      <c r="A678" s="4"/>
      <c r="B678" s="32"/>
      <c r="C678" s="4"/>
      <c r="D678" s="45"/>
      <c r="E678" s="33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24" customHeight="1" x14ac:dyDescent="0.25">
      <c r="A679" s="4"/>
      <c r="B679" s="32"/>
      <c r="C679" s="4"/>
      <c r="D679" s="45"/>
      <c r="E679" s="33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24" customHeight="1" x14ac:dyDescent="0.25">
      <c r="A680" s="4"/>
      <c r="B680" s="32"/>
      <c r="C680" s="4"/>
      <c r="D680" s="45"/>
      <c r="E680" s="33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24" customHeight="1" x14ac:dyDescent="0.25">
      <c r="A681" s="4"/>
      <c r="B681" s="32"/>
      <c r="C681" s="4"/>
      <c r="D681" s="45"/>
      <c r="E681" s="33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24" customHeight="1" x14ac:dyDescent="0.25">
      <c r="A682" s="4"/>
      <c r="B682" s="32"/>
      <c r="C682" s="4"/>
      <c r="D682" s="45"/>
      <c r="E682" s="33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24" customHeight="1" x14ac:dyDescent="0.25">
      <c r="A683" s="4"/>
      <c r="B683" s="32"/>
      <c r="C683" s="4"/>
      <c r="D683" s="45"/>
      <c r="E683" s="33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24" customHeight="1" x14ac:dyDescent="0.25">
      <c r="A684" s="4"/>
      <c r="B684" s="32"/>
      <c r="C684" s="4"/>
      <c r="D684" s="45"/>
      <c r="E684" s="33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24" customHeight="1" x14ac:dyDescent="0.25">
      <c r="A685" s="4"/>
      <c r="B685" s="32"/>
      <c r="C685" s="4"/>
      <c r="D685" s="45"/>
      <c r="E685" s="33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24" customHeight="1" x14ac:dyDescent="0.25">
      <c r="A686" s="4"/>
      <c r="B686" s="32"/>
      <c r="C686" s="4"/>
      <c r="D686" s="45"/>
      <c r="E686" s="33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24" customHeight="1" x14ac:dyDescent="0.25">
      <c r="A687" s="4"/>
      <c r="B687" s="32"/>
      <c r="C687" s="4"/>
      <c r="D687" s="45"/>
      <c r="E687" s="33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24" customHeight="1" x14ac:dyDescent="0.25">
      <c r="A688" s="4"/>
      <c r="B688" s="32"/>
      <c r="C688" s="4"/>
      <c r="D688" s="45"/>
      <c r="E688" s="33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24" customHeight="1" x14ac:dyDescent="0.25">
      <c r="A689" s="4"/>
      <c r="B689" s="32"/>
      <c r="C689" s="4"/>
      <c r="D689" s="45"/>
      <c r="E689" s="33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24" customHeight="1" x14ac:dyDescent="0.25">
      <c r="A690" s="4"/>
      <c r="B690" s="32"/>
      <c r="C690" s="4"/>
      <c r="D690" s="45"/>
      <c r="E690" s="33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24" customHeight="1" x14ac:dyDescent="0.25">
      <c r="A691" s="4"/>
      <c r="B691" s="32"/>
      <c r="C691" s="4"/>
      <c r="D691" s="45"/>
      <c r="E691" s="33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24" customHeight="1" x14ac:dyDescent="0.25">
      <c r="A692" s="4"/>
      <c r="B692" s="32"/>
      <c r="C692" s="4"/>
      <c r="D692" s="45"/>
      <c r="E692" s="33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24" customHeight="1" x14ac:dyDescent="0.25">
      <c r="A693" s="4"/>
      <c r="B693" s="32"/>
      <c r="C693" s="4"/>
      <c r="D693" s="45"/>
      <c r="E693" s="33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24" customHeight="1" x14ac:dyDescent="0.25">
      <c r="A694" s="4"/>
      <c r="B694" s="32"/>
      <c r="C694" s="4"/>
      <c r="D694" s="45"/>
      <c r="E694" s="33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24" customHeight="1" x14ac:dyDescent="0.25">
      <c r="A695" s="4"/>
      <c r="B695" s="32"/>
      <c r="C695" s="4"/>
      <c r="D695" s="45"/>
      <c r="E695" s="33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24" customHeight="1" x14ac:dyDescent="0.25">
      <c r="A696" s="4"/>
      <c r="B696" s="32"/>
      <c r="C696" s="4"/>
      <c r="D696" s="45"/>
      <c r="E696" s="33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24" customHeight="1" x14ac:dyDescent="0.25">
      <c r="A697" s="4"/>
      <c r="B697" s="32"/>
      <c r="C697" s="4"/>
      <c r="D697" s="45"/>
      <c r="E697" s="33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24" customHeight="1" x14ac:dyDescent="0.25">
      <c r="A698" s="4"/>
      <c r="B698" s="32"/>
      <c r="C698" s="4"/>
      <c r="D698" s="45"/>
      <c r="E698" s="33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24" customHeight="1" x14ac:dyDescent="0.25">
      <c r="A699" s="4"/>
      <c r="B699" s="32"/>
      <c r="C699" s="4"/>
      <c r="D699" s="45"/>
      <c r="E699" s="33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24" customHeight="1" x14ac:dyDescent="0.25">
      <c r="A700" s="4"/>
      <c r="B700" s="32"/>
      <c r="C700" s="4"/>
      <c r="D700" s="45"/>
      <c r="E700" s="33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24" customHeight="1" x14ac:dyDescent="0.25">
      <c r="A701" s="4"/>
      <c r="B701" s="32"/>
      <c r="C701" s="4"/>
      <c r="D701" s="45"/>
      <c r="E701" s="33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24" customHeight="1" x14ac:dyDescent="0.25">
      <c r="A702" s="4"/>
      <c r="B702" s="32"/>
      <c r="C702" s="4"/>
      <c r="D702" s="45"/>
      <c r="E702" s="33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24" customHeight="1" x14ac:dyDescent="0.25">
      <c r="A703" s="4"/>
      <c r="B703" s="32"/>
      <c r="C703" s="4"/>
      <c r="D703" s="45"/>
      <c r="E703" s="33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24" customHeight="1" x14ac:dyDescent="0.25">
      <c r="A704" s="4"/>
      <c r="B704" s="32"/>
      <c r="C704" s="4"/>
      <c r="D704" s="45"/>
      <c r="E704" s="33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24" customHeight="1" x14ac:dyDescent="0.25">
      <c r="A705" s="4"/>
      <c r="B705" s="32"/>
      <c r="C705" s="4"/>
      <c r="D705" s="45"/>
      <c r="E705" s="33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24" customHeight="1" x14ac:dyDescent="0.25">
      <c r="A706" s="4"/>
      <c r="B706" s="32"/>
      <c r="C706" s="4"/>
      <c r="D706" s="45"/>
      <c r="E706" s="33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24" customHeight="1" x14ac:dyDescent="0.25">
      <c r="A707" s="4"/>
      <c r="B707" s="32"/>
      <c r="C707" s="4"/>
      <c r="D707" s="45"/>
      <c r="E707" s="33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24" customHeight="1" x14ac:dyDescent="0.25">
      <c r="A708" s="4"/>
      <c r="B708" s="32"/>
      <c r="C708" s="4"/>
      <c r="D708" s="45"/>
      <c r="E708" s="33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24" customHeight="1" x14ac:dyDescent="0.25">
      <c r="A709" s="4"/>
      <c r="B709" s="32"/>
      <c r="C709" s="4"/>
      <c r="D709" s="45"/>
      <c r="E709" s="33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24" customHeight="1" x14ac:dyDescent="0.25">
      <c r="A710" s="4"/>
      <c r="B710" s="32"/>
      <c r="C710" s="4"/>
      <c r="D710" s="45"/>
      <c r="E710" s="33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24" customHeight="1" x14ac:dyDescent="0.25">
      <c r="A711" s="4"/>
      <c r="B711" s="32"/>
      <c r="C711" s="4"/>
      <c r="D711" s="45"/>
      <c r="E711" s="33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24" customHeight="1" x14ac:dyDescent="0.25">
      <c r="A712" s="4"/>
      <c r="B712" s="32"/>
      <c r="C712" s="4"/>
      <c r="D712" s="45"/>
      <c r="E712" s="33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24" customHeight="1" x14ac:dyDescent="0.25">
      <c r="A713" s="4"/>
      <c r="B713" s="32"/>
      <c r="C713" s="4"/>
      <c r="D713" s="45"/>
      <c r="E713" s="33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24" customHeight="1" x14ac:dyDescent="0.25">
      <c r="A714" s="4"/>
      <c r="B714" s="32"/>
      <c r="C714" s="4"/>
      <c r="D714" s="45"/>
      <c r="E714" s="33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24" customHeight="1" x14ac:dyDescent="0.25">
      <c r="A715" s="4"/>
      <c r="B715" s="32"/>
      <c r="C715" s="4"/>
      <c r="D715" s="45"/>
      <c r="E715" s="33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24" customHeight="1" x14ac:dyDescent="0.25">
      <c r="A716" s="4"/>
      <c r="B716" s="32"/>
      <c r="C716" s="4"/>
      <c r="D716" s="45"/>
      <c r="E716" s="33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24" customHeight="1" x14ac:dyDescent="0.25">
      <c r="A717" s="4"/>
      <c r="B717" s="32"/>
      <c r="C717" s="4"/>
      <c r="D717" s="45"/>
      <c r="E717" s="33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24" customHeight="1" x14ac:dyDescent="0.25">
      <c r="A718" s="4"/>
      <c r="B718" s="32"/>
      <c r="C718" s="4"/>
      <c r="D718" s="45"/>
      <c r="E718" s="33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24" customHeight="1" x14ac:dyDescent="0.25">
      <c r="A719" s="4"/>
      <c r="B719" s="32"/>
      <c r="C719" s="4"/>
      <c r="D719" s="45"/>
      <c r="E719" s="33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24" customHeight="1" x14ac:dyDescent="0.25">
      <c r="A720" s="4"/>
      <c r="B720" s="32"/>
      <c r="C720" s="4"/>
      <c r="D720" s="45"/>
      <c r="E720" s="33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24" customHeight="1" x14ac:dyDescent="0.25">
      <c r="A721" s="4"/>
      <c r="B721" s="32"/>
      <c r="C721" s="4"/>
      <c r="D721" s="45"/>
      <c r="E721" s="33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24" customHeight="1" x14ac:dyDescent="0.25">
      <c r="A722" s="4"/>
      <c r="B722" s="32"/>
      <c r="C722" s="4"/>
      <c r="D722" s="45"/>
      <c r="E722" s="33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24" customHeight="1" x14ac:dyDescent="0.25">
      <c r="A723" s="4"/>
      <c r="B723" s="32"/>
      <c r="C723" s="4"/>
      <c r="D723" s="45"/>
      <c r="E723" s="33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24" customHeight="1" x14ac:dyDescent="0.25">
      <c r="A724" s="4"/>
      <c r="B724" s="32"/>
      <c r="C724" s="4"/>
      <c r="D724" s="45"/>
      <c r="E724" s="33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24" customHeight="1" x14ac:dyDescent="0.25">
      <c r="A725" s="4"/>
      <c r="B725" s="32"/>
      <c r="C725" s="4"/>
      <c r="D725" s="45"/>
      <c r="E725" s="33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24" customHeight="1" x14ac:dyDescent="0.25">
      <c r="A726" s="4"/>
      <c r="B726" s="32"/>
      <c r="C726" s="4"/>
      <c r="D726" s="45"/>
      <c r="E726" s="33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24" customHeight="1" x14ac:dyDescent="0.25">
      <c r="A727" s="4"/>
      <c r="B727" s="32"/>
      <c r="C727" s="4"/>
      <c r="D727" s="45"/>
      <c r="E727" s="33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24" customHeight="1" x14ac:dyDescent="0.25">
      <c r="A728" s="4"/>
      <c r="B728" s="32"/>
      <c r="C728" s="4"/>
      <c r="D728" s="45"/>
      <c r="E728" s="33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24" customHeight="1" x14ac:dyDescent="0.25">
      <c r="A729" s="4"/>
      <c r="B729" s="32"/>
      <c r="C729" s="4"/>
      <c r="D729" s="45"/>
      <c r="E729" s="33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24" customHeight="1" x14ac:dyDescent="0.25">
      <c r="A730" s="4"/>
      <c r="B730" s="32"/>
      <c r="C730" s="4"/>
      <c r="D730" s="45"/>
      <c r="E730" s="33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24" customHeight="1" x14ac:dyDescent="0.25">
      <c r="A731" s="4"/>
      <c r="B731" s="32"/>
      <c r="C731" s="4"/>
      <c r="D731" s="45"/>
      <c r="E731" s="33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24" customHeight="1" x14ac:dyDescent="0.25">
      <c r="A732" s="4"/>
      <c r="B732" s="32"/>
      <c r="C732" s="4"/>
      <c r="D732" s="45"/>
      <c r="E732" s="33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24" customHeight="1" x14ac:dyDescent="0.25">
      <c r="A733" s="4"/>
      <c r="B733" s="32"/>
      <c r="C733" s="4"/>
      <c r="D733" s="45"/>
      <c r="E733" s="33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24" customHeight="1" x14ac:dyDescent="0.25">
      <c r="A734" s="4"/>
      <c r="B734" s="32"/>
      <c r="C734" s="4"/>
      <c r="D734" s="45"/>
      <c r="E734" s="33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24" customHeight="1" x14ac:dyDescent="0.25">
      <c r="A735" s="4"/>
      <c r="B735" s="32"/>
      <c r="C735" s="4"/>
      <c r="D735" s="45"/>
      <c r="E735" s="33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24" customHeight="1" x14ac:dyDescent="0.25">
      <c r="A736" s="4"/>
      <c r="B736" s="32"/>
      <c r="C736" s="4"/>
      <c r="D736" s="45"/>
      <c r="E736" s="33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24" customHeight="1" x14ac:dyDescent="0.25">
      <c r="A737" s="4"/>
      <c r="B737" s="32"/>
      <c r="C737" s="4"/>
      <c r="D737" s="45"/>
      <c r="E737" s="33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24" customHeight="1" x14ac:dyDescent="0.25">
      <c r="A738" s="4"/>
      <c r="B738" s="32"/>
      <c r="C738" s="4"/>
      <c r="D738" s="45"/>
      <c r="E738" s="33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24" customHeight="1" x14ac:dyDescent="0.25">
      <c r="A739" s="4"/>
      <c r="B739" s="32"/>
      <c r="C739" s="4"/>
      <c r="D739" s="45"/>
      <c r="E739" s="33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24" customHeight="1" x14ac:dyDescent="0.25">
      <c r="A740" s="4"/>
      <c r="B740" s="32"/>
      <c r="C740" s="4"/>
      <c r="D740" s="45"/>
      <c r="E740" s="33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24" customHeight="1" x14ac:dyDescent="0.25">
      <c r="A741" s="4"/>
      <c r="B741" s="32"/>
      <c r="C741" s="4"/>
      <c r="D741" s="45"/>
      <c r="E741" s="33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24" customHeight="1" x14ac:dyDescent="0.25">
      <c r="A742" s="4"/>
      <c r="B742" s="32"/>
      <c r="C742" s="4"/>
      <c r="D742" s="45"/>
      <c r="E742" s="33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24" customHeight="1" x14ac:dyDescent="0.25">
      <c r="A743" s="4"/>
      <c r="B743" s="32"/>
      <c r="C743" s="4"/>
      <c r="D743" s="45"/>
      <c r="E743" s="33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24" customHeight="1" x14ac:dyDescent="0.25">
      <c r="A744" s="4"/>
      <c r="B744" s="32"/>
      <c r="C744" s="4"/>
      <c r="D744" s="45"/>
      <c r="E744" s="33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24" customHeight="1" x14ac:dyDescent="0.25">
      <c r="A745" s="4"/>
      <c r="B745" s="32"/>
      <c r="C745" s="4"/>
      <c r="D745" s="45"/>
      <c r="E745" s="33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24" customHeight="1" x14ac:dyDescent="0.25">
      <c r="A746" s="4"/>
      <c r="B746" s="32"/>
      <c r="C746" s="4"/>
      <c r="D746" s="45"/>
      <c r="E746" s="33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24" customHeight="1" x14ac:dyDescent="0.25">
      <c r="A747" s="4"/>
      <c r="B747" s="32"/>
      <c r="C747" s="4"/>
      <c r="D747" s="45"/>
      <c r="E747" s="33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24" customHeight="1" x14ac:dyDescent="0.25">
      <c r="A748" s="4"/>
      <c r="B748" s="32"/>
      <c r="C748" s="4"/>
      <c r="D748" s="45"/>
      <c r="E748" s="33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24" customHeight="1" x14ac:dyDescent="0.25">
      <c r="A749" s="4"/>
      <c r="B749" s="32"/>
      <c r="C749" s="4"/>
      <c r="D749" s="45"/>
      <c r="E749" s="33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24" customHeight="1" x14ac:dyDescent="0.25">
      <c r="A750" s="4"/>
      <c r="B750" s="32"/>
      <c r="C750" s="4"/>
      <c r="D750" s="45"/>
      <c r="E750" s="33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24" customHeight="1" x14ac:dyDescent="0.25">
      <c r="A751" s="4"/>
      <c r="B751" s="32"/>
      <c r="C751" s="4"/>
      <c r="D751" s="45"/>
      <c r="E751" s="33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24" customHeight="1" x14ac:dyDescent="0.25">
      <c r="A752" s="4"/>
      <c r="B752" s="32"/>
      <c r="C752" s="4"/>
      <c r="D752" s="45"/>
      <c r="E752" s="33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24" customHeight="1" x14ac:dyDescent="0.25">
      <c r="A753" s="4"/>
      <c r="B753" s="32"/>
      <c r="C753" s="4"/>
      <c r="D753" s="45"/>
      <c r="E753" s="33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24" customHeight="1" x14ac:dyDescent="0.25">
      <c r="A754" s="4"/>
      <c r="B754" s="32"/>
      <c r="C754" s="4"/>
      <c r="D754" s="45"/>
      <c r="E754" s="33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24" customHeight="1" x14ac:dyDescent="0.25">
      <c r="A755" s="4"/>
      <c r="B755" s="32"/>
      <c r="C755" s="4"/>
      <c r="D755" s="45"/>
      <c r="E755" s="33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24" customHeight="1" x14ac:dyDescent="0.25">
      <c r="A756" s="4"/>
      <c r="B756" s="32"/>
      <c r="C756" s="4"/>
      <c r="D756" s="45"/>
      <c r="E756" s="33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24" customHeight="1" x14ac:dyDescent="0.25">
      <c r="A757" s="4"/>
      <c r="B757" s="32"/>
      <c r="C757" s="4"/>
      <c r="D757" s="45"/>
      <c r="E757" s="33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24" customHeight="1" x14ac:dyDescent="0.25">
      <c r="A758" s="4"/>
      <c r="B758" s="32"/>
      <c r="C758" s="4"/>
      <c r="D758" s="45"/>
      <c r="E758" s="33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24" customHeight="1" x14ac:dyDescent="0.25">
      <c r="A759" s="4"/>
      <c r="B759" s="32"/>
      <c r="C759" s="4"/>
      <c r="D759" s="45"/>
      <c r="E759" s="33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24" customHeight="1" x14ac:dyDescent="0.25">
      <c r="A760" s="4"/>
      <c r="B760" s="32"/>
      <c r="C760" s="4"/>
      <c r="D760" s="45"/>
      <c r="E760" s="33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24" customHeight="1" x14ac:dyDescent="0.25">
      <c r="A761" s="4"/>
      <c r="B761" s="32"/>
      <c r="C761" s="4"/>
      <c r="D761" s="45"/>
      <c r="E761" s="33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24" customHeight="1" x14ac:dyDescent="0.25">
      <c r="A762" s="4"/>
      <c r="B762" s="32"/>
      <c r="C762" s="4"/>
      <c r="D762" s="45"/>
      <c r="E762" s="33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24" customHeight="1" x14ac:dyDescent="0.25">
      <c r="A763" s="4"/>
      <c r="B763" s="32"/>
      <c r="C763" s="4"/>
      <c r="D763" s="45"/>
      <c r="E763" s="33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24" customHeight="1" x14ac:dyDescent="0.25">
      <c r="A764" s="4"/>
      <c r="B764" s="32"/>
      <c r="C764" s="4"/>
      <c r="D764" s="45"/>
      <c r="E764" s="33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24" customHeight="1" x14ac:dyDescent="0.25">
      <c r="A765" s="4"/>
      <c r="B765" s="32"/>
      <c r="C765" s="4"/>
      <c r="D765" s="45"/>
      <c r="E765" s="33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24" customHeight="1" x14ac:dyDescent="0.25">
      <c r="A766" s="4"/>
      <c r="B766" s="32"/>
      <c r="C766" s="4"/>
      <c r="D766" s="45"/>
      <c r="E766" s="33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24" customHeight="1" x14ac:dyDescent="0.25">
      <c r="A767" s="4"/>
      <c r="B767" s="32"/>
      <c r="C767" s="4"/>
      <c r="D767" s="45"/>
      <c r="E767" s="33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24" customHeight="1" x14ac:dyDescent="0.25">
      <c r="A768" s="4"/>
      <c r="B768" s="32"/>
      <c r="C768" s="4"/>
      <c r="D768" s="45"/>
      <c r="E768" s="33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24" customHeight="1" x14ac:dyDescent="0.25">
      <c r="A769" s="4"/>
      <c r="B769" s="32"/>
      <c r="C769" s="4"/>
      <c r="D769" s="45"/>
      <c r="E769" s="33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24" customHeight="1" x14ac:dyDescent="0.25">
      <c r="A770" s="4"/>
      <c r="B770" s="32"/>
      <c r="C770" s="4"/>
      <c r="D770" s="45"/>
      <c r="E770" s="33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24" customHeight="1" x14ac:dyDescent="0.25">
      <c r="A771" s="4"/>
      <c r="B771" s="32"/>
      <c r="C771" s="4"/>
      <c r="D771" s="45"/>
      <c r="E771" s="33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24" customHeight="1" x14ac:dyDescent="0.25">
      <c r="A772" s="4"/>
      <c r="B772" s="32"/>
      <c r="C772" s="4"/>
      <c r="D772" s="45"/>
      <c r="E772" s="33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24" customHeight="1" x14ac:dyDescent="0.25">
      <c r="A773" s="4"/>
      <c r="B773" s="32"/>
      <c r="C773" s="4"/>
      <c r="D773" s="45"/>
      <c r="E773" s="33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24" customHeight="1" x14ac:dyDescent="0.25">
      <c r="A774" s="4"/>
      <c r="B774" s="32"/>
      <c r="C774" s="4"/>
      <c r="D774" s="45"/>
      <c r="E774" s="33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24" customHeight="1" x14ac:dyDescent="0.25">
      <c r="A775" s="4"/>
      <c r="B775" s="32"/>
      <c r="C775" s="4"/>
      <c r="D775" s="45"/>
      <c r="E775" s="33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24" customHeight="1" x14ac:dyDescent="0.25">
      <c r="A776" s="4"/>
      <c r="B776" s="32"/>
      <c r="C776" s="4"/>
      <c r="D776" s="45"/>
      <c r="E776" s="33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24" customHeight="1" x14ac:dyDescent="0.25">
      <c r="A777" s="4"/>
      <c r="B777" s="32"/>
      <c r="C777" s="4"/>
      <c r="D777" s="45"/>
      <c r="E777" s="33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24" customHeight="1" x14ac:dyDescent="0.25">
      <c r="A778" s="4"/>
      <c r="B778" s="32"/>
      <c r="C778" s="4"/>
      <c r="D778" s="45"/>
      <c r="E778" s="33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24" customHeight="1" x14ac:dyDescent="0.25">
      <c r="A779" s="4"/>
      <c r="B779" s="32"/>
      <c r="C779" s="4"/>
      <c r="D779" s="45"/>
      <c r="E779" s="33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24" customHeight="1" x14ac:dyDescent="0.25">
      <c r="A780" s="4"/>
      <c r="B780" s="32"/>
      <c r="C780" s="4"/>
      <c r="D780" s="45"/>
      <c r="E780" s="33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24" customHeight="1" x14ac:dyDescent="0.25">
      <c r="A781" s="4"/>
      <c r="B781" s="32"/>
      <c r="C781" s="4"/>
      <c r="D781" s="45"/>
      <c r="E781" s="33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24" customHeight="1" x14ac:dyDescent="0.25">
      <c r="A782" s="4"/>
      <c r="B782" s="32"/>
      <c r="C782" s="4"/>
      <c r="D782" s="45"/>
      <c r="E782" s="33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24" customHeight="1" x14ac:dyDescent="0.25">
      <c r="A783" s="4"/>
      <c r="B783" s="32"/>
      <c r="C783" s="4"/>
      <c r="D783" s="45"/>
      <c r="E783" s="33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24" customHeight="1" x14ac:dyDescent="0.25">
      <c r="A784" s="4"/>
      <c r="B784" s="32"/>
      <c r="C784" s="4"/>
      <c r="D784" s="45"/>
      <c r="E784" s="33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24" customHeight="1" x14ac:dyDescent="0.25">
      <c r="A785" s="4"/>
      <c r="B785" s="32"/>
      <c r="C785" s="4"/>
      <c r="D785" s="45"/>
      <c r="E785" s="33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24" customHeight="1" x14ac:dyDescent="0.25">
      <c r="A786" s="4"/>
      <c r="B786" s="32"/>
      <c r="C786" s="4"/>
      <c r="D786" s="45"/>
      <c r="E786" s="33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24" customHeight="1" x14ac:dyDescent="0.25">
      <c r="A787" s="4"/>
      <c r="B787" s="32"/>
      <c r="C787" s="4"/>
      <c r="D787" s="45"/>
      <c r="E787" s="33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24" customHeight="1" x14ac:dyDescent="0.25">
      <c r="A788" s="4"/>
      <c r="B788" s="32"/>
      <c r="C788" s="4"/>
      <c r="D788" s="45"/>
      <c r="E788" s="33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24" customHeight="1" x14ac:dyDescent="0.25">
      <c r="A789" s="4"/>
      <c r="B789" s="32"/>
      <c r="C789" s="4"/>
      <c r="D789" s="45"/>
      <c r="E789" s="33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24" customHeight="1" x14ac:dyDescent="0.25">
      <c r="A790" s="4"/>
      <c r="B790" s="32"/>
      <c r="C790" s="4"/>
      <c r="D790" s="45"/>
      <c r="E790" s="33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24" customHeight="1" x14ac:dyDescent="0.25">
      <c r="A791" s="4"/>
      <c r="B791" s="32"/>
      <c r="C791" s="4"/>
      <c r="D791" s="45"/>
      <c r="E791" s="33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24" customHeight="1" x14ac:dyDescent="0.25">
      <c r="A792" s="4"/>
      <c r="B792" s="32"/>
      <c r="C792" s="4"/>
      <c r="D792" s="45"/>
      <c r="E792" s="33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24" customHeight="1" x14ac:dyDescent="0.25">
      <c r="A793" s="4"/>
      <c r="B793" s="32"/>
      <c r="C793" s="4"/>
      <c r="D793" s="45"/>
      <c r="E793" s="33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24" customHeight="1" x14ac:dyDescent="0.25">
      <c r="A794" s="4"/>
      <c r="B794" s="32"/>
      <c r="C794" s="4"/>
      <c r="D794" s="45"/>
      <c r="E794" s="33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24" customHeight="1" x14ac:dyDescent="0.25">
      <c r="A795" s="4"/>
      <c r="B795" s="32"/>
      <c r="C795" s="4"/>
      <c r="D795" s="45"/>
      <c r="E795" s="33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24" customHeight="1" x14ac:dyDescent="0.25">
      <c r="A796" s="4"/>
      <c r="B796" s="32"/>
      <c r="C796" s="4"/>
      <c r="D796" s="45"/>
      <c r="E796" s="33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24" customHeight="1" x14ac:dyDescent="0.25">
      <c r="A797" s="4"/>
      <c r="B797" s="32"/>
      <c r="C797" s="4"/>
      <c r="D797" s="45"/>
      <c r="E797" s="33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24" customHeight="1" x14ac:dyDescent="0.25">
      <c r="A798" s="4"/>
      <c r="B798" s="32"/>
      <c r="C798" s="4"/>
      <c r="D798" s="45"/>
      <c r="E798" s="33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24" customHeight="1" x14ac:dyDescent="0.25">
      <c r="A799" s="4"/>
      <c r="B799" s="32"/>
      <c r="C799" s="4"/>
      <c r="D799" s="45"/>
      <c r="E799" s="33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24" customHeight="1" x14ac:dyDescent="0.25">
      <c r="A800" s="4"/>
      <c r="B800" s="32"/>
      <c r="C800" s="4"/>
      <c r="D800" s="45"/>
      <c r="E800" s="33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24" customHeight="1" x14ac:dyDescent="0.25">
      <c r="A801" s="4"/>
      <c r="B801" s="32"/>
      <c r="C801" s="4"/>
      <c r="D801" s="45"/>
      <c r="E801" s="33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24" customHeight="1" x14ac:dyDescent="0.25">
      <c r="A802" s="4"/>
      <c r="B802" s="32"/>
      <c r="C802" s="4"/>
      <c r="D802" s="45"/>
      <c r="E802" s="33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24" customHeight="1" x14ac:dyDescent="0.25">
      <c r="A803" s="4"/>
      <c r="B803" s="32"/>
      <c r="C803" s="4"/>
      <c r="D803" s="45"/>
      <c r="E803" s="33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24" customHeight="1" x14ac:dyDescent="0.25">
      <c r="A804" s="4"/>
      <c r="B804" s="32"/>
      <c r="C804" s="4"/>
      <c r="D804" s="45"/>
      <c r="E804" s="33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24" customHeight="1" x14ac:dyDescent="0.25">
      <c r="A805" s="4"/>
      <c r="B805" s="32"/>
      <c r="C805" s="4"/>
      <c r="D805" s="45"/>
      <c r="E805" s="33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24" customHeight="1" x14ac:dyDescent="0.25">
      <c r="A806" s="4"/>
      <c r="B806" s="32"/>
      <c r="C806" s="4"/>
      <c r="D806" s="45"/>
      <c r="E806" s="33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24" customHeight="1" x14ac:dyDescent="0.25">
      <c r="A807" s="4"/>
      <c r="B807" s="32"/>
      <c r="C807" s="4"/>
      <c r="D807" s="45"/>
      <c r="E807" s="33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24" customHeight="1" x14ac:dyDescent="0.25">
      <c r="A808" s="4"/>
      <c r="B808" s="32"/>
      <c r="C808" s="4"/>
      <c r="D808" s="45"/>
      <c r="E808" s="33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24" customHeight="1" x14ac:dyDescent="0.25">
      <c r="A809" s="4"/>
      <c r="B809" s="32"/>
      <c r="C809" s="4"/>
      <c r="D809" s="45"/>
      <c r="E809" s="33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24" customHeight="1" x14ac:dyDescent="0.25">
      <c r="A810" s="4"/>
      <c r="B810" s="32"/>
      <c r="C810" s="4"/>
      <c r="D810" s="45"/>
      <c r="E810" s="33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24" customHeight="1" x14ac:dyDescent="0.25">
      <c r="A811" s="4"/>
      <c r="B811" s="32"/>
      <c r="C811" s="4"/>
      <c r="D811" s="45"/>
      <c r="E811" s="33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24" customHeight="1" x14ac:dyDescent="0.25">
      <c r="A812" s="4"/>
      <c r="B812" s="32"/>
      <c r="C812" s="4"/>
      <c r="D812" s="45"/>
      <c r="E812" s="33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24" customHeight="1" x14ac:dyDescent="0.25">
      <c r="A813" s="4"/>
      <c r="B813" s="32"/>
      <c r="C813" s="4"/>
      <c r="D813" s="45"/>
      <c r="E813" s="33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24" customHeight="1" x14ac:dyDescent="0.25">
      <c r="A814" s="4"/>
      <c r="B814" s="32"/>
      <c r="C814" s="4"/>
      <c r="D814" s="45"/>
      <c r="E814" s="33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24" customHeight="1" x14ac:dyDescent="0.25">
      <c r="A815" s="4"/>
      <c r="B815" s="32"/>
      <c r="C815" s="4"/>
      <c r="D815" s="45"/>
      <c r="E815" s="33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24" customHeight="1" x14ac:dyDescent="0.25">
      <c r="A816" s="4"/>
      <c r="B816" s="32"/>
      <c r="C816" s="4"/>
      <c r="D816" s="45"/>
      <c r="E816" s="33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24" customHeight="1" x14ac:dyDescent="0.25">
      <c r="A817" s="4"/>
      <c r="B817" s="32"/>
      <c r="C817" s="4"/>
      <c r="D817" s="45"/>
      <c r="E817" s="33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24" customHeight="1" x14ac:dyDescent="0.25">
      <c r="A818" s="4"/>
      <c r="B818" s="32"/>
      <c r="C818" s="4"/>
      <c r="D818" s="45"/>
      <c r="E818" s="33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24" customHeight="1" x14ac:dyDescent="0.25">
      <c r="A819" s="4"/>
      <c r="B819" s="32"/>
      <c r="C819" s="4"/>
      <c r="D819" s="45"/>
      <c r="E819" s="33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24" customHeight="1" x14ac:dyDescent="0.25">
      <c r="A820" s="4"/>
      <c r="B820" s="32"/>
      <c r="C820" s="4"/>
      <c r="D820" s="45"/>
      <c r="E820" s="33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24" customHeight="1" x14ac:dyDescent="0.25">
      <c r="A821" s="4"/>
      <c r="B821" s="32"/>
      <c r="C821" s="4"/>
      <c r="D821" s="45"/>
      <c r="E821" s="33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24" customHeight="1" x14ac:dyDescent="0.25">
      <c r="A822" s="4"/>
      <c r="B822" s="32"/>
      <c r="C822" s="4"/>
      <c r="D822" s="45"/>
      <c r="E822" s="33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24" customHeight="1" x14ac:dyDescent="0.25">
      <c r="A823" s="4"/>
      <c r="B823" s="32"/>
      <c r="C823" s="4"/>
      <c r="D823" s="45"/>
      <c r="E823" s="33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24" customHeight="1" x14ac:dyDescent="0.25">
      <c r="A824" s="4"/>
      <c r="B824" s="32"/>
      <c r="C824" s="4"/>
      <c r="D824" s="45"/>
      <c r="E824" s="33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24" customHeight="1" x14ac:dyDescent="0.25">
      <c r="A825" s="4"/>
      <c r="B825" s="32"/>
      <c r="C825" s="4"/>
      <c r="D825" s="45"/>
      <c r="E825" s="33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24" customHeight="1" x14ac:dyDescent="0.25">
      <c r="A826" s="4"/>
      <c r="B826" s="32"/>
      <c r="C826" s="4"/>
      <c r="D826" s="45"/>
      <c r="E826" s="33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24" customHeight="1" x14ac:dyDescent="0.25">
      <c r="A827" s="4"/>
      <c r="B827" s="32"/>
      <c r="C827" s="4"/>
      <c r="D827" s="45"/>
      <c r="E827" s="33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24" customHeight="1" x14ac:dyDescent="0.25">
      <c r="A828" s="4"/>
      <c r="B828" s="32"/>
      <c r="C828" s="4"/>
      <c r="D828" s="45"/>
      <c r="E828" s="33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24" customHeight="1" x14ac:dyDescent="0.25">
      <c r="A829" s="4"/>
      <c r="B829" s="32"/>
      <c r="C829" s="4"/>
      <c r="D829" s="45"/>
      <c r="E829" s="33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24" customHeight="1" x14ac:dyDescent="0.25">
      <c r="A830" s="4"/>
      <c r="B830" s="32"/>
      <c r="C830" s="4"/>
      <c r="D830" s="45"/>
      <c r="E830" s="33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24" customHeight="1" x14ac:dyDescent="0.25">
      <c r="A831" s="4"/>
      <c r="B831" s="32"/>
      <c r="C831" s="4"/>
      <c r="D831" s="45"/>
      <c r="E831" s="33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24" customHeight="1" x14ac:dyDescent="0.25">
      <c r="A832" s="4"/>
      <c r="B832" s="32"/>
      <c r="C832" s="4"/>
      <c r="D832" s="45"/>
      <c r="E832" s="33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24" customHeight="1" x14ac:dyDescent="0.25">
      <c r="A833" s="4"/>
      <c r="B833" s="32"/>
      <c r="C833" s="4"/>
      <c r="D833" s="45"/>
      <c r="E833" s="33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24" customHeight="1" x14ac:dyDescent="0.25">
      <c r="A834" s="4"/>
      <c r="B834" s="32"/>
      <c r="C834" s="4"/>
      <c r="D834" s="45"/>
      <c r="E834" s="33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24" customHeight="1" x14ac:dyDescent="0.25">
      <c r="A835" s="4"/>
      <c r="B835" s="32"/>
      <c r="C835" s="4"/>
      <c r="D835" s="45"/>
      <c r="E835" s="33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24" customHeight="1" x14ac:dyDescent="0.25">
      <c r="A836" s="4"/>
      <c r="B836" s="32"/>
      <c r="C836" s="4"/>
      <c r="D836" s="45"/>
      <c r="E836" s="33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24" customHeight="1" x14ac:dyDescent="0.25">
      <c r="A837" s="4"/>
      <c r="B837" s="32"/>
      <c r="C837" s="4"/>
      <c r="D837" s="45"/>
      <c r="E837" s="33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24" customHeight="1" x14ac:dyDescent="0.25">
      <c r="A838" s="4"/>
      <c r="B838" s="32"/>
      <c r="C838" s="4"/>
      <c r="D838" s="45"/>
      <c r="E838" s="33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24" customHeight="1" x14ac:dyDescent="0.25">
      <c r="A839" s="4"/>
      <c r="B839" s="32"/>
      <c r="C839" s="4"/>
      <c r="D839" s="45"/>
      <c r="E839" s="33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24" customHeight="1" x14ac:dyDescent="0.25">
      <c r="A840" s="4"/>
      <c r="B840" s="32"/>
      <c r="C840" s="4"/>
      <c r="D840" s="45"/>
      <c r="E840" s="33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24" customHeight="1" x14ac:dyDescent="0.25">
      <c r="A841" s="4"/>
      <c r="B841" s="32"/>
      <c r="C841" s="4"/>
      <c r="D841" s="45"/>
      <c r="E841" s="33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24" customHeight="1" x14ac:dyDescent="0.25">
      <c r="A842" s="4"/>
      <c r="B842" s="32"/>
      <c r="C842" s="4"/>
      <c r="D842" s="45"/>
      <c r="E842" s="33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24" customHeight="1" x14ac:dyDescent="0.25">
      <c r="A843" s="4"/>
      <c r="B843" s="32"/>
      <c r="C843" s="4"/>
      <c r="D843" s="45"/>
      <c r="E843" s="33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24" customHeight="1" x14ac:dyDescent="0.25">
      <c r="A844" s="4"/>
      <c r="B844" s="32"/>
      <c r="C844" s="4"/>
      <c r="D844" s="45"/>
      <c r="E844" s="33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24" customHeight="1" x14ac:dyDescent="0.25">
      <c r="A845" s="4"/>
      <c r="B845" s="32"/>
      <c r="C845" s="4"/>
      <c r="D845" s="45"/>
      <c r="E845" s="33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24" customHeight="1" x14ac:dyDescent="0.25">
      <c r="A846" s="4"/>
      <c r="B846" s="32"/>
      <c r="C846" s="4"/>
      <c r="D846" s="45"/>
      <c r="E846" s="33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24" customHeight="1" x14ac:dyDescent="0.25">
      <c r="A847" s="4"/>
      <c r="B847" s="32"/>
      <c r="C847" s="4"/>
      <c r="D847" s="45"/>
      <c r="E847" s="33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24" customHeight="1" x14ac:dyDescent="0.25">
      <c r="A848" s="4"/>
      <c r="B848" s="32"/>
      <c r="C848" s="4"/>
      <c r="D848" s="45"/>
      <c r="E848" s="33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24" customHeight="1" x14ac:dyDescent="0.25">
      <c r="A849" s="4"/>
      <c r="B849" s="32"/>
      <c r="C849" s="4"/>
      <c r="D849" s="45"/>
      <c r="E849" s="33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24" customHeight="1" x14ac:dyDescent="0.25">
      <c r="A850" s="4"/>
      <c r="B850" s="32"/>
      <c r="C850" s="4"/>
      <c r="D850" s="45"/>
      <c r="E850" s="33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24" customHeight="1" x14ac:dyDescent="0.25">
      <c r="A851" s="4"/>
      <c r="B851" s="32"/>
      <c r="C851" s="4"/>
      <c r="D851" s="45"/>
      <c r="E851" s="33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24" customHeight="1" x14ac:dyDescent="0.25">
      <c r="A852" s="4"/>
      <c r="B852" s="32"/>
      <c r="C852" s="4"/>
      <c r="D852" s="45"/>
      <c r="E852" s="33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24" customHeight="1" x14ac:dyDescent="0.25">
      <c r="A853" s="4"/>
      <c r="B853" s="32"/>
      <c r="C853" s="4"/>
      <c r="D853" s="45"/>
      <c r="E853" s="33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24" customHeight="1" x14ac:dyDescent="0.25">
      <c r="A854" s="4"/>
      <c r="B854" s="32"/>
      <c r="C854" s="4"/>
      <c r="D854" s="45"/>
      <c r="E854" s="33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24" customHeight="1" x14ac:dyDescent="0.25">
      <c r="A855" s="4"/>
      <c r="B855" s="32"/>
      <c r="C855" s="4"/>
      <c r="D855" s="45"/>
      <c r="E855" s="33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24" customHeight="1" x14ac:dyDescent="0.25">
      <c r="A856" s="4"/>
      <c r="B856" s="32"/>
      <c r="C856" s="4"/>
      <c r="D856" s="45"/>
      <c r="E856" s="33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24" customHeight="1" x14ac:dyDescent="0.25">
      <c r="A857" s="4"/>
      <c r="B857" s="32"/>
      <c r="C857" s="4"/>
      <c r="D857" s="45"/>
      <c r="E857" s="33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24" customHeight="1" x14ac:dyDescent="0.25">
      <c r="A858" s="4"/>
      <c r="B858" s="32"/>
      <c r="C858" s="4"/>
      <c r="D858" s="45"/>
      <c r="E858" s="33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24" customHeight="1" x14ac:dyDescent="0.25">
      <c r="A859" s="4"/>
      <c r="B859" s="32"/>
      <c r="C859" s="4"/>
      <c r="D859" s="45"/>
      <c r="E859" s="33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24" customHeight="1" x14ac:dyDescent="0.25">
      <c r="A860" s="4"/>
      <c r="B860" s="32"/>
      <c r="C860" s="4"/>
      <c r="D860" s="45"/>
      <c r="E860" s="33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24" customHeight="1" x14ac:dyDescent="0.25">
      <c r="A861" s="4"/>
      <c r="B861" s="32"/>
      <c r="C861" s="4"/>
      <c r="D861" s="45"/>
      <c r="E861" s="33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24" customHeight="1" x14ac:dyDescent="0.25">
      <c r="A862" s="4"/>
      <c r="B862" s="32"/>
      <c r="C862" s="4"/>
      <c r="D862" s="45"/>
      <c r="E862" s="33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24" customHeight="1" x14ac:dyDescent="0.25">
      <c r="A863" s="4"/>
      <c r="B863" s="32"/>
      <c r="C863" s="4"/>
      <c r="D863" s="45"/>
      <c r="E863" s="33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24" customHeight="1" x14ac:dyDescent="0.25">
      <c r="A864" s="4"/>
      <c r="B864" s="32"/>
      <c r="C864" s="4"/>
      <c r="D864" s="45"/>
      <c r="E864" s="33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24" customHeight="1" x14ac:dyDescent="0.25">
      <c r="A865" s="4"/>
      <c r="B865" s="32"/>
      <c r="C865" s="4"/>
      <c r="D865" s="45"/>
      <c r="E865" s="33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24" customHeight="1" x14ac:dyDescent="0.25">
      <c r="A866" s="4"/>
      <c r="B866" s="32"/>
      <c r="C866" s="4"/>
      <c r="D866" s="45"/>
      <c r="E866" s="33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24" customHeight="1" x14ac:dyDescent="0.25">
      <c r="A867" s="4"/>
      <c r="B867" s="32"/>
      <c r="C867" s="4"/>
      <c r="D867" s="45"/>
      <c r="E867" s="33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24" customHeight="1" x14ac:dyDescent="0.25">
      <c r="A868" s="4"/>
      <c r="B868" s="32"/>
      <c r="C868" s="4"/>
      <c r="D868" s="45"/>
      <c r="E868" s="33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24" customHeight="1" x14ac:dyDescent="0.25">
      <c r="A869" s="4"/>
      <c r="B869" s="32"/>
      <c r="C869" s="4"/>
      <c r="D869" s="45"/>
      <c r="E869" s="33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24" customHeight="1" x14ac:dyDescent="0.25">
      <c r="A870" s="4"/>
      <c r="B870" s="32"/>
      <c r="C870" s="4"/>
      <c r="D870" s="45"/>
      <c r="E870" s="33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24" customHeight="1" x14ac:dyDescent="0.25">
      <c r="A871" s="4"/>
      <c r="B871" s="32"/>
      <c r="C871" s="4"/>
      <c r="D871" s="45"/>
      <c r="E871" s="33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24" customHeight="1" x14ac:dyDescent="0.25">
      <c r="A872" s="4"/>
      <c r="B872" s="32"/>
      <c r="C872" s="4"/>
      <c r="D872" s="45"/>
      <c r="E872" s="33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24" customHeight="1" x14ac:dyDescent="0.25">
      <c r="A873" s="4"/>
      <c r="B873" s="32"/>
      <c r="C873" s="4"/>
      <c r="D873" s="45"/>
      <c r="E873" s="33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24" customHeight="1" x14ac:dyDescent="0.25">
      <c r="A874" s="4"/>
      <c r="B874" s="32"/>
      <c r="C874" s="4"/>
      <c r="D874" s="45"/>
      <c r="E874" s="33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24" customHeight="1" x14ac:dyDescent="0.25">
      <c r="A875" s="4"/>
      <c r="B875" s="32"/>
      <c r="C875" s="4"/>
      <c r="D875" s="45"/>
      <c r="E875" s="33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24" customHeight="1" x14ac:dyDescent="0.25">
      <c r="A876" s="4"/>
      <c r="B876" s="32"/>
      <c r="C876" s="4"/>
      <c r="D876" s="45"/>
      <c r="E876" s="33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24" customHeight="1" x14ac:dyDescent="0.25">
      <c r="A877" s="4"/>
      <c r="B877" s="32"/>
      <c r="C877" s="4"/>
      <c r="D877" s="45"/>
      <c r="E877" s="33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24" customHeight="1" x14ac:dyDescent="0.25">
      <c r="A878" s="4"/>
      <c r="B878" s="32"/>
      <c r="C878" s="4"/>
      <c r="D878" s="45"/>
      <c r="E878" s="33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24" customHeight="1" x14ac:dyDescent="0.25">
      <c r="A879" s="4"/>
      <c r="B879" s="32"/>
      <c r="C879" s="4"/>
      <c r="D879" s="45"/>
      <c r="E879" s="33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24" customHeight="1" x14ac:dyDescent="0.25">
      <c r="A880" s="4"/>
      <c r="B880" s="32"/>
      <c r="C880" s="4"/>
      <c r="D880" s="45"/>
      <c r="E880" s="33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24" customHeight="1" x14ac:dyDescent="0.25">
      <c r="A881" s="4"/>
      <c r="B881" s="32"/>
      <c r="C881" s="4"/>
      <c r="D881" s="45"/>
      <c r="E881" s="33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24" customHeight="1" x14ac:dyDescent="0.25">
      <c r="A882" s="4"/>
      <c r="B882" s="32"/>
      <c r="C882" s="4"/>
      <c r="D882" s="45"/>
      <c r="E882" s="33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24" customHeight="1" x14ac:dyDescent="0.25">
      <c r="A883" s="4"/>
      <c r="B883" s="32"/>
      <c r="C883" s="4"/>
      <c r="D883" s="45"/>
      <c r="E883" s="33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24" customHeight="1" x14ac:dyDescent="0.25">
      <c r="A884" s="4"/>
      <c r="B884" s="32"/>
      <c r="C884" s="4"/>
      <c r="D884" s="45"/>
      <c r="E884" s="33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24" customHeight="1" x14ac:dyDescent="0.25">
      <c r="A885" s="4"/>
      <c r="B885" s="32"/>
      <c r="C885" s="4"/>
      <c r="D885" s="45"/>
      <c r="E885" s="33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24" customHeight="1" x14ac:dyDescent="0.25">
      <c r="A886" s="4"/>
      <c r="B886" s="32"/>
      <c r="C886" s="4"/>
      <c r="D886" s="45"/>
      <c r="E886" s="33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24" customHeight="1" x14ac:dyDescent="0.25">
      <c r="A887" s="4"/>
      <c r="B887" s="32"/>
      <c r="C887" s="4"/>
      <c r="D887" s="45"/>
      <c r="E887" s="33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24" customHeight="1" x14ac:dyDescent="0.25">
      <c r="A888" s="4"/>
      <c r="B888" s="32"/>
      <c r="C888" s="4"/>
      <c r="D888" s="45"/>
      <c r="E888" s="33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24" customHeight="1" x14ac:dyDescent="0.25">
      <c r="A889" s="4"/>
      <c r="B889" s="32"/>
      <c r="C889" s="4"/>
      <c r="D889" s="45"/>
      <c r="E889" s="33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24" customHeight="1" x14ac:dyDescent="0.25">
      <c r="A890" s="4"/>
      <c r="B890" s="32"/>
      <c r="C890" s="4"/>
      <c r="D890" s="45"/>
      <c r="E890" s="33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24" customHeight="1" x14ac:dyDescent="0.25">
      <c r="A891" s="4"/>
      <c r="B891" s="32"/>
      <c r="C891" s="4"/>
      <c r="D891" s="45"/>
      <c r="E891" s="33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24" customHeight="1" x14ac:dyDescent="0.25">
      <c r="A892" s="4"/>
      <c r="B892" s="32"/>
      <c r="C892" s="4"/>
      <c r="D892" s="45"/>
      <c r="E892" s="33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24" customHeight="1" x14ac:dyDescent="0.25">
      <c r="A893" s="4"/>
      <c r="B893" s="32"/>
      <c r="C893" s="4"/>
      <c r="D893" s="45"/>
      <c r="E893" s="33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24" customHeight="1" x14ac:dyDescent="0.25">
      <c r="A894" s="4"/>
      <c r="B894" s="32"/>
      <c r="C894" s="4"/>
      <c r="D894" s="45"/>
      <c r="E894" s="33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24" customHeight="1" x14ac:dyDescent="0.25">
      <c r="A895" s="4"/>
      <c r="B895" s="32"/>
      <c r="C895" s="4"/>
      <c r="D895" s="45"/>
      <c r="E895" s="33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24" customHeight="1" x14ac:dyDescent="0.25">
      <c r="A896" s="4"/>
      <c r="B896" s="32"/>
      <c r="C896" s="4"/>
      <c r="D896" s="45"/>
      <c r="E896" s="33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24" customHeight="1" x14ac:dyDescent="0.25">
      <c r="A897" s="4"/>
      <c r="B897" s="32"/>
      <c r="C897" s="4"/>
      <c r="D897" s="45"/>
      <c r="E897" s="33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24" customHeight="1" x14ac:dyDescent="0.25">
      <c r="A898" s="4"/>
      <c r="B898" s="32"/>
      <c r="C898" s="4"/>
      <c r="D898" s="45"/>
      <c r="E898" s="33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24" customHeight="1" x14ac:dyDescent="0.25">
      <c r="A899" s="4"/>
      <c r="B899" s="32"/>
      <c r="C899" s="4"/>
      <c r="D899" s="45"/>
      <c r="E899" s="33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24" customHeight="1" x14ac:dyDescent="0.25">
      <c r="A900" s="4"/>
      <c r="B900" s="32"/>
      <c r="C900" s="4"/>
      <c r="D900" s="45"/>
      <c r="E900" s="33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24" customHeight="1" x14ac:dyDescent="0.25">
      <c r="A901" s="4"/>
      <c r="B901" s="32"/>
      <c r="C901" s="4"/>
      <c r="D901" s="45"/>
      <c r="E901" s="33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24" customHeight="1" x14ac:dyDescent="0.25">
      <c r="A902" s="4"/>
      <c r="B902" s="32"/>
      <c r="C902" s="4"/>
      <c r="D902" s="45"/>
      <c r="E902" s="33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24" customHeight="1" x14ac:dyDescent="0.25">
      <c r="A903" s="4"/>
      <c r="B903" s="32"/>
      <c r="C903" s="4"/>
      <c r="D903" s="45"/>
      <c r="E903" s="33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24" customHeight="1" x14ac:dyDescent="0.25">
      <c r="A904" s="4"/>
      <c r="B904" s="32"/>
      <c r="C904" s="4"/>
      <c r="D904" s="45"/>
      <c r="E904" s="33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24" customHeight="1" x14ac:dyDescent="0.25">
      <c r="A905" s="4"/>
      <c r="B905" s="32"/>
      <c r="C905" s="4"/>
      <c r="D905" s="45"/>
      <c r="E905" s="33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24" customHeight="1" x14ac:dyDescent="0.25">
      <c r="A906" s="4"/>
      <c r="B906" s="32"/>
      <c r="C906" s="4"/>
      <c r="D906" s="45"/>
      <c r="E906" s="33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24" customHeight="1" x14ac:dyDescent="0.25">
      <c r="A907" s="4"/>
      <c r="B907" s="32"/>
      <c r="C907" s="4"/>
      <c r="D907" s="45"/>
      <c r="E907" s="33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24" customHeight="1" x14ac:dyDescent="0.25">
      <c r="A908" s="4"/>
      <c r="B908" s="32"/>
      <c r="C908" s="4"/>
      <c r="D908" s="45"/>
      <c r="E908" s="33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24" customHeight="1" x14ac:dyDescent="0.25">
      <c r="A909" s="4"/>
      <c r="B909" s="32"/>
      <c r="C909" s="4"/>
      <c r="D909" s="45"/>
      <c r="E909" s="33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24" customHeight="1" x14ac:dyDescent="0.25">
      <c r="A910" s="4"/>
      <c r="B910" s="32"/>
      <c r="C910" s="4"/>
      <c r="D910" s="45"/>
      <c r="E910" s="33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24" customHeight="1" x14ac:dyDescent="0.25">
      <c r="A911" s="4"/>
      <c r="B911" s="32"/>
      <c r="C911" s="4"/>
      <c r="D911" s="45"/>
      <c r="E911" s="33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24" customHeight="1" x14ac:dyDescent="0.25">
      <c r="A912" s="4"/>
      <c r="B912" s="32"/>
      <c r="C912" s="4"/>
      <c r="D912" s="45"/>
      <c r="E912" s="33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24" customHeight="1" x14ac:dyDescent="0.25">
      <c r="A913" s="4"/>
      <c r="B913" s="32"/>
      <c r="C913" s="4"/>
      <c r="D913" s="45"/>
      <c r="E913" s="33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24" customHeight="1" x14ac:dyDescent="0.25">
      <c r="A914" s="4"/>
      <c r="B914" s="32"/>
      <c r="C914" s="4"/>
      <c r="D914" s="45"/>
      <c r="E914" s="33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24" customHeight="1" x14ac:dyDescent="0.25">
      <c r="A915" s="4"/>
      <c r="B915" s="32"/>
      <c r="C915" s="4"/>
      <c r="D915" s="45"/>
      <c r="E915" s="33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24" customHeight="1" x14ac:dyDescent="0.25">
      <c r="A916" s="4"/>
      <c r="B916" s="32"/>
      <c r="C916" s="4"/>
      <c r="D916" s="45"/>
      <c r="E916" s="33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24" customHeight="1" x14ac:dyDescent="0.25">
      <c r="A917" s="4"/>
      <c r="B917" s="32"/>
      <c r="C917" s="4"/>
      <c r="D917" s="45"/>
      <c r="E917" s="33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24" customHeight="1" x14ac:dyDescent="0.25">
      <c r="A918" s="4"/>
      <c r="B918" s="32"/>
      <c r="C918" s="4"/>
      <c r="D918" s="45"/>
      <c r="E918" s="33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24" customHeight="1" x14ac:dyDescent="0.25">
      <c r="A919" s="4"/>
      <c r="B919" s="32"/>
      <c r="C919" s="4"/>
      <c r="D919" s="45"/>
      <c r="E919" s="33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24" customHeight="1" x14ac:dyDescent="0.25">
      <c r="A920" s="4"/>
      <c r="B920" s="32"/>
      <c r="C920" s="4"/>
      <c r="D920" s="45"/>
      <c r="E920" s="33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24" customHeight="1" x14ac:dyDescent="0.25">
      <c r="A921" s="4"/>
      <c r="B921" s="32"/>
      <c r="C921" s="4"/>
      <c r="D921" s="45"/>
      <c r="E921" s="33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24" customHeight="1" x14ac:dyDescent="0.25">
      <c r="A922" s="4"/>
      <c r="B922" s="32"/>
      <c r="C922" s="4"/>
      <c r="D922" s="45"/>
      <c r="E922" s="33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24" customHeight="1" x14ac:dyDescent="0.25">
      <c r="A923" s="4"/>
      <c r="B923" s="32"/>
      <c r="C923" s="4"/>
      <c r="D923" s="45"/>
      <c r="E923" s="33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24" customHeight="1" x14ac:dyDescent="0.25">
      <c r="A924" s="4"/>
      <c r="B924" s="32"/>
      <c r="C924" s="4"/>
      <c r="D924" s="45"/>
      <c r="E924" s="33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24" customHeight="1" x14ac:dyDescent="0.25">
      <c r="A925" s="4"/>
      <c r="B925" s="32"/>
      <c r="C925" s="4"/>
      <c r="D925" s="45"/>
      <c r="E925" s="33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24" customHeight="1" x14ac:dyDescent="0.25">
      <c r="A926" s="4"/>
      <c r="B926" s="32"/>
      <c r="C926" s="4"/>
      <c r="D926" s="45"/>
      <c r="E926" s="33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24" customHeight="1" x14ac:dyDescent="0.25">
      <c r="A927" s="4"/>
      <c r="B927" s="32"/>
      <c r="C927" s="4"/>
      <c r="D927" s="45"/>
      <c r="E927" s="33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24" customHeight="1" x14ac:dyDescent="0.25">
      <c r="A928" s="4"/>
      <c r="B928" s="32"/>
      <c r="C928" s="4"/>
      <c r="D928" s="45"/>
      <c r="E928" s="33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24" customHeight="1" x14ac:dyDescent="0.25">
      <c r="A929" s="4"/>
      <c r="B929" s="32"/>
      <c r="C929" s="4"/>
      <c r="D929" s="45"/>
      <c r="E929" s="33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24" customHeight="1" x14ac:dyDescent="0.25">
      <c r="A930" s="4"/>
      <c r="B930" s="32"/>
      <c r="C930" s="4"/>
      <c r="D930" s="45"/>
      <c r="E930" s="33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24" customHeight="1" x14ac:dyDescent="0.25">
      <c r="A931" s="4"/>
      <c r="B931" s="32"/>
      <c r="C931" s="4"/>
      <c r="D931" s="45"/>
      <c r="E931" s="33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24" customHeight="1" x14ac:dyDescent="0.25">
      <c r="A932" s="4"/>
      <c r="B932" s="32"/>
      <c r="C932" s="4"/>
      <c r="D932" s="45"/>
      <c r="E932" s="33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24" customHeight="1" x14ac:dyDescent="0.25">
      <c r="A933" s="4"/>
      <c r="B933" s="32"/>
      <c r="C933" s="4"/>
      <c r="D933" s="45"/>
      <c r="E933" s="33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24" customHeight="1" x14ac:dyDescent="0.25">
      <c r="A934" s="4"/>
      <c r="B934" s="32"/>
      <c r="C934" s="4"/>
      <c r="D934" s="45"/>
      <c r="E934" s="33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24" customHeight="1" x14ac:dyDescent="0.25">
      <c r="A935" s="4"/>
      <c r="B935" s="32"/>
      <c r="C935" s="4"/>
      <c r="D935" s="45"/>
      <c r="E935" s="33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24" customHeight="1" x14ac:dyDescent="0.25">
      <c r="A936" s="4"/>
      <c r="B936" s="32"/>
      <c r="C936" s="4"/>
      <c r="D936" s="45"/>
      <c r="E936" s="33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24" customHeight="1" x14ac:dyDescent="0.25">
      <c r="A937" s="4"/>
      <c r="B937" s="32"/>
      <c r="C937" s="4"/>
      <c r="D937" s="45"/>
      <c r="E937" s="33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24" customHeight="1" x14ac:dyDescent="0.25">
      <c r="A938" s="4"/>
      <c r="B938" s="32"/>
      <c r="C938" s="4"/>
      <c r="D938" s="45"/>
      <c r="E938" s="33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24" customHeight="1" x14ac:dyDescent="0.25">
      <c r="A939" s="4"/>
      <c r="B939" s="32"/>
      <c r="C939" s="4"/>
      <c r="D939" s="45"/>
      <c r="E939" s="33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24" customHeight="1" x14ac:dyDescent="0.25">
      <c r="A940" s="4"/>
      <c r="B940" s="32"/>
      <c r="C940" s="4"/>
      <c r="D940" s="45"/>
      <c r="E940" s="33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24" customHeight="1" x14ac:dyDescent="0.25">
      <c r="A941" s="4"/>
      <c r="B941" s="32"/>
      <c r="C941" s="4"/>
      <c r="D941" s="45"/>
      <c r="E941" s="33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24" customHeight="1" x14ac:dyDescent="0.25">
      <c r="A942" s="4"/>
      <c r="B942" s="32"/>
      <c r="C942" s="4"/>
      <c r="D942" s="45"/>
      <c r="E942" s="33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24" customHeight="1" x14ac:dyDescent="0.25">
      <c r="A943" s="4"/>
      <c r="B943" s="32"/>
      <c r="C943" s="4"/>
      <c r="D943" s="45"/>
      <c r="E943" s="33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24" customHeight="1" x14ac:dyDescent="0.25">
      <c r="A944" s="4"/>
      <c r="B944" s="32"/>
      <c r="C944" s="4"/>
      <c r="D944" s="45"/>
      <c r="E944" s="33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24" customHeight="1" x14ac:dyDescent="0.25">
      <c r="A945" s="4"/>
      <c r="B945" s="32"/>
      <c r="C945" s="4"/>
      <c r="D945" s="45"/>
      <c r="E945" s="33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24" customHeight="1" x14ac:dyDescent="0.25">
      <c r="A946" s="4"/>
      <c r="B946" s="32"/>
      <c r="C946" s="4"/>
      <c r="D946" s="45"/>
      <c r="E946" s="33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24" customHeight="1" x14ac:dyDescent="0.25">
      <c r="A947" s="4"/>
      <c r="B947" s="32"/>
      <c r="C947" s="4"/>
      <c r="D947" s="45"/>
      <c r="E947" s="33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24" customHeight="1" x14ac:dyDescent="0.25">
      <c r="A948" s="4"/>
      <c r="B948" s="32"/>
      <c r="C948" s="4"/>
      <c r="D948" s="45"/>
      <c r="E948" s="33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24" customHeight="1" x14ac:dyDescent="0.25">
      <c r="A949" s="4"/>
      <c r="B949" s="32"/>
      <c r="C949" s="4"/>
      <c r="D949" s="45"/>
      <c r="E949" s="33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24" customHeight="1" x14ac:dyDescent="0.25">
      <c r="A950" s="4"/>
      <c r="B950" s="32"/>
      <c r="C950" s="4"/>
      <c r="D950" s="45"/>
      <c r="E950" s="33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24" customHeight="1" x14ac:dyDescent="0.25">
      <c r="A951" s="4"/>
      <c r="B951" s="32"/>
      <c r="C951" s="4"/>
      <c r="D951" s="45"/>
      <c r="E951" s="33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24" customHeight="1" x14ac:dyDescent="0.25">
      <c r="A952" s="4"/>
      <c r="B952" s="32"/>
      <c r="C952" s="4"/>
      <c r="D952" s="45"/>
      <c r="E952" s="33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24" customHeight="1" x14ac:dyDescent="0.25">
      <c r="A953" s="4"/>
      <c r="B953" s="32"/>
      <c r="C953" s="4"/>
      <c r="D953" s="45"/>
      <c r="E953" s="33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24" customHeight="1" x14ac:dyDescent="0.25">
      <c r="A954" s="4"/>
      <c r="B954" s="32"/>
      <c r="C954" s="4"/>
      <c r="D954" s="45"/>
      <c r="E954" s="33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24" customHeight="1" x14ac:dyDescent="0.25">
      <c r="A955" s="4"/>
      <c r="B955" s="32"/>
      <c r="C955" s="4"/>
      <c r="D955" s="45"/>
      <c r="E955" s="33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24" customHeight="1" x14ac:dyDescent="0.25">
      <c r="A956" s="4"/>
      <c r="B956" s="32"/>
      <c r="C956" s="4"/>
      <c r="D956" s="45"/>
      <c r="E956" s="33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24" customHeight="1" x14ac:dyDescent="0.25">
      <c r="A957" s="4"/>
      <c r="B957" s="32"/>
      <c r="C957" s="4"/>
      <c r="D957" s="45"/>
      <c r="E957" s="33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24" customHeight="1" x14ac:dyDescent="0.25">
      <c r="A958" s="4"/>
      <c r="B958" s="32"/>
      <c r="C958" s="4"/>
      <c r="D958" s="45"/>
      <c r="E958" s="33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24" customHeight="1" x14ac:dyDescent="0.25">
      <c r="A959" s="4"/>
      <c r="B959" s="32"/>
      <c r="C959" s="4"/>
      <c r="D959" s="45"/>
      <c r="E959" s="33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24" customHeight="1" x14ac:dyDescent="0.25">
      <c r="A960" s="4"/>
      <c r="B960" s="32"/>
      <c r="C960" s="4"/>
      <c r="D960" s="45"/>
      <c r="E960" s="33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24" customHeight="1" x14ac:dyDescent="0.25">
      <c r="A961" s="4"/>
      <c r="B961" s="32"/>
      <c r="C961" s="4"/>
      <c r="D961" s="45"/>
      <c r="E961" s="33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24" customHeight="1" x14ac:dyDescent="0.25">
      <c r="A962" s="4"/>
      <c r="B962" s="32"/>
      <c r="C962" s="4"/>
      <c r="D962" s="45"/>
      <c r="E962" s="33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24" customHeight="1" x14ac:dyDescent="0.25">
      <c r="A963" s="4"/>
      <c r="B963" s="32"/>
      <c r="C963" s="4"/>
      <c r="D963" s="45"/>
      <c r="E963" s="33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24" customHeight="1" x14ac:dyDescent="0.25">
      <c r="A964" s="4"/>
      <c r="B964" s="32"/>
      <c r="C964" s="4"/>
      <c r="D964" s="45"/>
      <c r="E964" s="33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24" customHeight="1" x14ac:dyDescent="0.25">
      <c r="A965" s="4"/>
      <c r="B965" s="32"/>
      <c r="C965" s="4"/>
      <c r="D965" s="45"/>
      <c r="E965" s="33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24" customHeight="1" x14ac:dyDescent="0.25">
      <c r="A966" s="4"/>
      <c r="B966" s="32"/>
      <c r="C966" s="4"/>
      <c r="D966" s="45"/>
      <c r="E966" s="33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24" customHeight="1" x14ac:dyDescent="0.25">
      <c r="A967" s="4"/>
      <c r="B967" s="32"/>
      <c r="C967" s="4"/>
      <c r="D967" s="45"/>
      <c r="E967" s="33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24" customHeight="1" x14ac:dyDescent="0.25">
      <c r="A968" s="4"/>
      <c r="B968" s="32"/>
      <c r="C968" s="4"/>
      <c r="D968" s="45"/>
      <c r="E968" s="33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24" customHeight="1" x14ac:dyDescent="0.25">
      <c r="A969" s="4"/>
      <c r="B969" s="32"/>
      <c r="C969" s="4"/>
      <c r="D969" s="45"/>
      <c r="E969" s="33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24" customHeight="1" x14ac:dyDescent="0.25">
      <c r="A970" s="4"/>
      <c r="B970" s="32"/>
      <c r="C970" s="4"/>
      <c r="D970" s="45"/>
      <c r="E970" s="33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24" customHeight="1" x14ac:dyDescent="0.25">
      <c r="A971" s="4"/>
      <c r="B971" s="32"/>
      <c r="C971" s="4"/>
      <c r="D971" s="45"/>
      <c r="E971" s="33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24" customHeight="1" x14ac:dyDescent="0.25">
      <c r="A972" s="4"/>
      <c r="B972" s="32"/>
      <c r="C972" s="4"/>
      <c r="D972" s="45"/>
      <c r="E972" s="33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24" customHeight="1" x14ac:dyDescent="0.25">
      <c r="A973" s="4"/>
      <c r="B973" s="32"/>
      <c r="C973" s="4"/>
      <c r="D973" s="45"/>
      <c r="E973" s="33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24" customHeight="1" x14ac:dyDescent="0.25">
      <c r="A974" s="4"/>
      <c r="B974" s="32"/>
      <c r="C974" s="4"/>
      <c r="D974" s="45"/>
      <c r="E974" s="33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24" customHeight="1" x14ac:dyDescent="0.25">
      <c r="A975" s="4"/>
      <c r="B975" s="32"/>
      <c r="C975" s="4"/>
      <c r="D975" s="45"/>
      <c r="E975" s="33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24" customHeight="1" x14ac:dyDescent="0.25">
      <c r="A976" s="4"/>
      <c r="B976" s="32"/>
      <c r="C976" s="4"/>
      <c r="D976" s="45"/>
      <c r="E976" s="33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24" customHeight="1" x14ac:dyDescent="0.25">
      <c r="A977" s="4"/>
      <c r="B977" s="32"/>
      <c r="C977" s="4"/>
      <c r="D977" s="45"/>
      <c r="E977" s="33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24" customHeight="1" x14ac:dyDescent="0.25">
      <c r="A978" s="4"/>
      <c r="B978" s="32"/>
      <c r="C978" s="4"/>
      <c r="D978" s="45"/>
      <c r="E978" s="33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24" customHeight="1" x14ac:dyDescent="0.25">
      <c r="A979" s="4"/>
      <c r="B979" s="32"/>
      <c r="C979" s="4"/>
      <c r="D979" s="45"/>
      <c r="E979" s="33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24" customHeight="1" x14ac:dyDescent="0.25">
      <c r="A980" s="4"/>
      <c r="B980" s="32"/>
      <c r="C980" s="4"/>
      <c r="D980" s="45"/>
      <c r="E980" s="33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24" customHeight="1" x14ac:dyDescent="0.25">
      <c r="A981" s="4"/>
      <c r="B981" s="32"/>
      <c r="C981" s="4"/>
      <c r="D981" s="45"/>
      <c r="E981" s="33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24" customHeight="1" x14ac:dyDescent="0.25">
      <c r="A982" s="4"/>
      <c r="B982" s="32"/>
      <c r="C982" s="4"/>
      <c r="D982" s="45"/>
      <c r="E982" s="33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24" customHeight="1" x14ac:dyDescent="0.25">
      <c r="A983" s="4"/>
      <c r="B983" s="32"/>
      <c r="C983" s="4"/>
      <c r="D983" s="45"/>
      <c r="E983" s="33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24" customHeight="1" x14ac:dyDescent="0.25">
      <c r="A984" s="4"/>
      <c r="B984" s="32"/>
      <c r="C984" s="4"/>
      <c r="D984" s="45"/>
      <c r="E984" s="33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24" customHeight="1" x14ac:dyDescent="0.25">
      <c r="A985" s="4"/>
      <c r="B985" s="32"/>
      <c r="C985" s="4"/>
      <c r="D985" s="45"/>
      <c r="E985" s="33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24" customHeight="1" x14ac:dyDescent="0.25">
      <c r="A986" s="4"/>
      <c r="B986" s="32"/>
      <c r="C986" s="4"/>
      <c r="D986" s="45"/>
      <c r="E986" s="33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24" customHeight="1" x14ac:dyDescent="0.25">
      <c r="A987" s="4"/>
      <c r="B987" s="32"/>
      <c r="C987" s="4"/>
      <c r="D987" s="45"/>
      <c r="E987" s="33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24" customHeight="1" x14ac:dyDescent="0.25">
      <c r="A988" s="4"/>
      <c r="B988" s="32"/>
      <c r="C988" s="4"/>
      <c r="D988" s="45"/>
      <c r="E988" s="33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24" customHeight="1" x14ac:dyDescent="0.25">
      <c r="A989" s="4"/>
      <c r="B989" s="32"/>
      <c r="C989" s="4"/>
      <c r="D989" s="45"/>
      <c r="E989" s="33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24" customHeight="1" x14ac:dyDescent="0.25">
      <c r="A990" s="4"/>
      <c r="B990" s="32"/>
      <c r="C990" s="4"/>
      <c r="D990" s="45"/>
      <c r="E990" s="33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24" customHeight="1" x14ac:dyDescent="0.25">
      <c r="A991" s="4"/>
      <c r="B991" s="32"/>
      <c r="C991" s="4"/>
      <c r="D991" s="45"/>
      <c r="E991" s="33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24" customHeight="1" x14ac:dyDescent="0.25">
      <c r="A992" s="4"/>
      <c r="B992" s="32"/>
      <c r="C992" s="4"/>
      <c r="D992" s="45"/>
      <c r="E992" s="33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24" customHeight="1" x14ac:dyDescent="0.25">
      <c r="A993" s="4"/>
      <c r="B993" s="32"/>
      <c r="C993" s="4"/>
      <c r="D993" s="45"/>
      <c r="E993" s="33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24" customHeight="1" x14ac:dyDescent="0.25">
      <c r="A994" s="4"/>
      <c r="B994" s="32"/>
      <c r="C994" s="4"/>
      <c r="D994" s="45"/>
      <c r="E994" s="33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24" customHeight="1" x14ac:dyDescent="0.25">
      <c r="A995" s="4"/>
      <c r="B995" s="32"/>
      <c r="C995" s="4"/>
      <c r="D995" s="45"/>
      <c r="E995" s="33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</sheetData>
  <phoneticPr fontId="10" type="noConversion"/>
  <hyperlinks>
    <hyperlink ref="D2" r:id="rId1"/>
    <hyperlink ref="D6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56"/>
  <sheetViews>
    <sheetView workbookViewId="0"/>
  </sheetViews>
  <sheetFormatPr defaultColWidth="12.6328125" defaultRowHeight="15.75" customHeight="1" x14ac:dyDescent="0.25"/>
  <cols>
    <col min="1" max="2" width="4.26953125" customWidth="1"/>
    <col min="4" max="4" width="20.90625" customWidth="1"/>
    <col min="5" max="5" width="15.453125" customWidth="1"/>
  </cols>
  <sheetData>
    <row r="1" spans="1:8" ht="15.75" customHeight="1" x14ac:dyDescent="0.3">
      <c r="A1" s="1"/>
      <c r="B1" s="1"/>
      <c r="C1" s="3" t="s">
        <v>32</v>
      </c>
      <c r="D1" s="5" t="s">
        <v>33</v>
      </c>
      <c r="E1" s="6" t="s">
        <v>34</v>
      </c>
      <c r="F1" s="9">
        <f>SUM(H17,H22,H27,H36,H42,H49)</f>
        <v>6.9907407407407418E-2</v>
      </c>
      <c r="G1" s="1"/>
      <c r="H1" s="1"/>
    </row>
    <row r="2" spans="1:8" ht="15.75" customHeight="1" x14ac:dyDescent="0.3">
      <c r="A2" s="1"/>
      <c r="B2" s="1"/>
      <c r="C2" s="3" t="s">
        <v>35</v>
      </c>
      <c r="D2" s="5" t="s">
        <v>36</v>
      </c>
      <c r="E2" s="6" t="s">
        <v>37</v>
      </c>
      <c r="F2" s="10">
        <v>0</v>
      </c>
      <c r="G2" s="1"/>
      <c r="H2" s="1"/>
    </row>
    <row r="3" spans="1:8" ht="15.75" customHeight="1" x14ac:dyDescent="0.3">
      <c r="A3" s="1"/>
      <c r="B3" s="1"/>
      <c r="C3" s="6" t="s">
        <v>38</v>
      </c>
      <c r="D3" s="1"/>
      <c r="E3" s="6" t="s">
        <v>39</v>
      </c>
      <c r="F3" s="10">
        <v>1.2</v>
      </c>
      <c r="G3" s="1"/>
      <c r="H3" s="1"/>
    </row>
    <row r="4" spans="1:8" ht="15.75" customHeight="1" x14ac:dyDescent="0.3">
      <c r="A4" s="1"/>
      <c r="B4" s="1"/>
      <c r="C4" s="6" t="s">
        <v>40</v>
      </c>
      <c r="D4" s="1"/>
      <c r="E4" s="6" t="s">
        <v>41</v>
      </c>
      <c r="F4" s="10">
        <v>0</v>
      </c>
      <c r="G4" s="1"/>
      <c r="H4" s="1"/>
    </row>
    <row r="5" spans="1:8" ht="15.75" customHeight="1" x14ac:dyDescent="0.25">
      <c r="A5" s="1"/>
      <c r="B5" s="1"/>
      <c r="C5" s="1"/>
      <c r="D5" s="1"/>
      <c r="E5" s="1"/>
      <c r="F5" s="1"/>
      <c r="G5" s="1"/>
      <c r="H5" s="1"/>
    </row>
    <row r="6" spans="1:8" ht="15.75" customHeight="1" x14ac:dyDescent="0.25">
      <c r="A6" s="92"/>
      <c r="B6" s="80"/>
      <c r="C6" s="88" t="s">
        <v>42</v>
      </c>
      <c r="D6" s="80"/>
      <c r="E6" s="79" t="s">
        <v>43</v>
      </c>
      <c r="F6" s="80"/>
      <c r="G6" s="58" t="s">
        <v>44</v>
      </c>
      <c r="H6" s="1"/>
    </row>
    <row r="7" spans="1:8" ht="15.75" customHeight="1" x14ac:dyDescent="0.25">
      <c r="A7" s="84" t="s">
        <v>45</v>
      </c>
      <c r="B7" s="85"/>
      <c r="C7" s="89" t="s">
        <v>46</v>
      </c>
      <c r="D7" s="85"/>
      <c r="E7" s="81" t="s">
        <v>47</v>
      </c>
      <c r="F7" s="82"/>
      <c r="G7" s="59" t="s">
        <v>48</v>
      </c>
      <c r="H7" s="14"/>
    </row>
    <row r="8" spans="1:8" ht="15.75" customHeight="1" x14ac:dyDescent="0.25">
      <c r="A8" s="86"/>
      <c r="B8" s="87"/>
      <c r="C8" s="86"/>
      <c r="D8" s="87"/>
      <c r="E8" s="15" t="s">
        <v>49</v>
      </c>
      <c r="F8" s="16" t="s">
        <v>50</v>
      </c>
      <c r="G8" s="17"/>
      <c r="H8" s="1"/>
    </row>
    <row r="9" spans="1:8" ht="15.75" customHeight="1" x14ac:dyDescent="0.25">
      <c r="A9" s="18"/>
      <c r="B9" s="18"/>
      <c r="C9" s="91"/>
      <c r="D9" s="80"/>
      <c r="E9" s="19" t="s">
        <v>51</v>
      </c>
      <c r="F9" s="18"/>
      <c r="G9" s="18"/>
      <c r="H9" s="1"/>
    </row>
    <row r="10" spans="1:8" ht="15.75" customHeight="1" x14ac:dyDescent="0.25">
      <c r="A10" s="1"/>
      <c r="B10" s="1"/>
      <c r="C10" s="1"/>
      <c r="D10" s="1"/>
      <c r="E10" s="1"/>
      <c r="F10" s="1"/>
      <c r="G10" s="1"/>
      <c r="H10" s="1"/>
    </row>
    <row r="11" spans="1:8" ht="15.75" customHeight="1" x14ac:dyDescent="0.25">
      <c r="A11" s="92"/>
      <c r="B11" s="80"/>
      <c r="C11" s="88" t="s">
        <v>52</v>
      </c>
      <c r="D11" s="80"/>
      <c r="E11" s="79" t="s">
        <v>43</v>
      </c>
      <c r="F11" s="80"/>
      <c r="G11" s="58" t="s">
        <v>44</v>
      </c>
      <c r="H11" s="1"/>
    </row>
    <row r="12" spans="1:8" ht="15.75" customHeight="1" x14ac:dyDescent="0.25">
      <c r="A12" s="84" t="s">
        <v>45</v>
      </c>
      <c r="B12" s="85"/>
      <c r="C12" s="89" t="s">
        <v>46</v>
      </c>
      <c r="D12" s="85"/>
      <c r="E12" s="81" t="s">
        <v>53</v>
      </c>
      <c r="F12" s="82"/>
      <c r="G12" s="59" t="s">
        <v>48</v>
      </c>
      <c r="H12" s="14"/>
    </row>
    <row r="13" spans="1:8" ht="15.75" customHeight="1" x14ac:dyDescent="0.25">
      <c r="A13" s="86"/>
      <c r="B13" s="87"/>
      <c r="C13" s="86"/>
      <c r="D13" s="87"/>
      <c r="E13" s="15" t="s">
        <v>49</v>
      </c>
      <c r="F13" s="16" t="s">
        <v>50</v>
      </c>
      <c r="G13" s="17"/>
      <c r="H13" s="1"/>
    </row>
    <row r="14" spans="1:8" ht="15.75" customHeight="1" x14ac:dyDescent="0.25">
      <c r="A14" s="1"/>
      <c r="B14" s="1"/>
      <c r="C14" s="1"/>
      <c r="D14" s="1"/>
      <c r="E14" s="1"/>
      <c r="F14" s="1"/>
      <c r="G14" s="1"/>
      <c r="H14" s="1"/>
    </row>
    <row r="15" spans="1:8" ht="15.75" customHeight="1" x14ac:dyDescent="0.25">
      <c r="A15" s="18"/>
      <c r="B15" s="18"/>
      <c r="C15" s="91"/>
      <c r="D15" s="80"/>
      <c r="E15" s="18"/>
      <c r="F15" s="18"/>
      <c r="G15" s="18"/>
      <c r="H15" s="1"/>
    </row>
    <row r="16" spans="1:8" ht="15.75" customHeight="1" x14ac:dyDescent="0.25">
      <c r="A16" s="93" t="s">
        <v>54</v>
      </c>
      <c r="B16" s="80"/>
      <c r="C16" s="88" t="s">
        <v>55</v>
      </c>
      <c r="D16" s="80"/>
      <c r="E16" s="79" t="s">
        <v>43</v>
      </c>
      <c r="F16" s="80"/>
      <c r="G16" s="58" t="s">
        <v>44</v>
      </c>
      <c r="H16" s="22" t="s">
        <v>56</v>
      </c>
    </row>
    <row r="17" spans="1:8" ht="15.75" customHeight="1" x14ac:dyDescent="0.25">
      <c r="A17" s="84" t="s">
        <v>45</v>
      </c>
      <c r="B17" s="85"/>
      <c r="C17" s="89" t="s">
        <v>46</v>
      </c>
      <c r="D17" s="85"/>
      <c r="E17" s="81" t="s">
        <v>57</v>
      </c>
      <c r="F17" s="82"/>
      <c r="G17" s="59" t="s">
        <v>48</v>
      </c>
      <c r="H17" s="9">
        <v>0</v>
      </c>
    </row>
    <row r="18" spans="1:8" ht="15.75" customHeight="1" x14ac:dyDescent="0.25">
      <c r="A18" s="86"/>
      <c r="B18" s="87"/>
      <c r="C18" s="86"/>
      <c r="D18" s="87"/>
      <c r="E18" s="15" t="s">
        <v>49</v>
      </c>
      <c r="F18" s="16" t="s">
        <v>50</v>
      </c>
      <c r="G18" s="17"/>
      <c r="H18" s="1"/>
    </row>
    <row r="19" spans="1:8" ht="15.75" customHeight="1" x14ac:dyDescent="0.25">
      <c r="A19" s="27" t="s">
        <v>58</v>
      </c>
      <c r="B19" s="29">
        <v>1</v>
      </c>
      <c r="C19" s="90" t="s">
        <v>59</v>
      </c>
      <c r="D19" s="80"/>
      <c r="E19" s="19" t="s">
        <v>60</v>
      </c>
      <c r="F19" s="18"/>
      <c r="G19" s="18"/>
      <c r="H19" s="1"/>
    </row>
    <row r="20" spans="1:8" ht="15.75" customHeight="1" x14ac:dyDescent="0.25">
      <c r="A20" s="1"/>
      <c r="B20" s="1"/>
      <c r="C20" s="1"/>
      <c r="D20" s="1"/>
      <c r="E20" s="1"/>
      <c r="F20" s="1"/>
      <c r="G20" s="1"/>
      <c r="H20" s="1"/>
    </row>
    <row r="21" spans="1:8" ht="15.75" customHeight="1" x14ac:dyDescent="0.25">
      <c r="A21" s="93" t="s">
        <v>61</v>
      </c>
      <c r="B21" s="80"/>
      <c r="C21" s="83" t="s">
        <v>62</v>
      </c>
      <c r="D21" s="80"/>
      <c r="E21" s="79" t="s">
        <v>43</v>
      </c>
      <c r="F21" s="80"/>
      <c r="G21" s="58" t="s">
        <v>44</v>
      </c>
      <c r="H21" s="22" t="s">
        <v>56</v>
      </c>
    </row>
    <row r="22" spans="1:8" ht="15.75" customHeight="1" x14ac:dyDescent="0.25">
      <c r="A22" s="84" t="s">
        <v>45</v>
      </c>
      <c r="B22" s="85"/>
      <c r="C22" s="89" t="s">
        <v>46</v>
      </c>
      <c r="D22" s="85"/>
      <c r="E22" s="81" t="s">
        <v>63</v>
      </c>
      <c r="F22" s="82"/>
      <c r="G22" s="59" t="s">
        <v>48</v>
      </c>
      <c r="H22" s="9">
        <f>F24</f>
        <v>5.0810185185185194E-3</v>
      </c>
    </row>
    <row r="23" spans="1:8" ht="12.5" customHeight="1" x14ac:dyDescent="0.25">
      <c r="A23" s="86"/>
      <c r="B23" s="87"/>
      <c r="C23" s="86"/>
      <c r="D23" s="87"/>
      <c r="E23" s="15" t="s">
        <v>49</v>
      </c>
      <c r="F23" s="16" t="s">
        <v>50</v>
      </c>
      <c r="G23" s="17"/>
      <c r="H23" s="1"/>
    </row>
    <row r="24" spans="1:8" ht="12.5" customHeight="1" x14ac:dyDescent="0.25">
      <c r="A24" s="27" t="s">
        <v>64</v>
      </c>
      <c r="B24" s="29">
        <v>1</v>
      </c>
      <c r="C24" s="90" t="s">
        <v>65</v>
      </c>
      <c r="D24" s="80"/>
      <c r="E24" s="19" t="s">
        <v>66</v>
      </c>
      <c r="F24" s="34">
        <v>5.0810185185185194E-3</v>
      </c>
      <c r="G24" s="18"/>
      <c r="H24" s="1"/>
    </row>
    <row r="25" spans="1:8" ht="12.5" customHeight="1" x14ac:dyDescent="0.25">
      <c r="A25" s="1"/>
      <c r="B25" s="1"/>
      <c r="C25" s="1"/>
      <c r="D25" s="1"/>
      <c r="E25" s="1"/>
      <c r="F25" s="1"/>
      <c r="G25" s="1"/>
      <c r="H25" s="1"/>
    </row>
    <row r="26" spans="1:8" ht="12.5" customHeight="1" x14ac:dyDescent="0.25">
      <c r="A26" s="93" t="s">
        <v>67</v>
      </c>
      <c r="B26" s="80"/>
      <c r="C26" s="83" t="s">
        <v>68</v>
      </c>
      <c r="D26" s="80"/>
      <c r="E26" s="79" t="s">
        <v>43</v>
      </c>
      <c r="F26" s="80"/>
      <c r="G26" s="58" t="s">
        <v>44</v>
      </c>
      <c r="H26" s="22" t="s">
        <v>56</v>
      </c>
    </row>
    <row r="27" spans="1:8" ht="12.5" customHeight="1" x14ac:dyDescent="0.25">
      <c r="A27" s="84" t="s">
        <v>45</v>
      </c>
      <c r="B27" s="85"/>
      <c r="C27" s="89" t="s">
        <v>46</v>
      </c>
      <c r="D27" s="85"/>
      <c r="E27" s="81" t="s">
        <v>57</v>
      </c>
      <c r="F27" s="82"/>
      <c r="G27" s="59" t="s">
        <v>48</v>
      </c>
      <c r="H27" s="9">
        <f>SUM(F29:F33)</f>
        <v>3.6944444444444446E-2</v>
      </c>
    </row>
    <row r="28" spans="1:8" ht="12.5" customHeight="1" x14ac:dyDescent="0.25">
      <c r="A28" s="86"/>
      <c r="B28" s="87"/>
      <c r="C28" s="86"/>
      <c r="D28" s="87"/>
      <c r="E28" s="15" t="s">
        <v>49</v>
      </c>
      <c r="F28" s="16" t="s">
        <v>50</v>
      </c>
      <c r="G28" s="17"/>
      <c r="H28" s="1"/>
    </row>
    <row r="29" spans="1:8" ht="12.5" customHeight="1" x14ac:dyDescent="0.25">
      <c r="A29" s="27" t="s">
        <v>69</v>
      </c>
      <c r="B29" s="29">
        <v>1</v>
      </c>
      <c r="C29" s="90" t="s">
        <v>70</v>
      </c>
      <c r="D29" s="80"/>
      <c r="E29" s="19" t="s">
        <v>71</v>
      </c>
      <c r="F29" s="34">
        <v>6.7361111111111111E-3</v>
      </c>
      <c r="G29" s="18"/>
      <c r="H29" s="1"/>
    </row>
    <row r="30" spans="1:8" ht="12.5" customHeight="1" x14ac:dyDescent="0.25">
      <c r="A30" s="27" t="s">
        <v>69</v>
      </c>
      <c r="B30" s="29">
        <v>2</v>
      </c>
      <c r="C30" s="90" t="s">
        <v>72</v>
      </c>
      <c r="D30" s="80"/>
      <c r="E30" s="19" t="s">
        <v>73</v>
      </c>
      <c r="F30" s="34">
        <v>7.1064814814814819E-3</v>
      </c>
      <c r="G30" s="18"/>
      <c r="H30" s="1"/>
    </row>
    <row r="31" spans="1:8" ht="12.5" customHeight="1" x14ac:dyDescent="0.25">
      <c r="A31" s="27" t="s">
        <v>69</v>
      </c>
      <c r="B31" s="29">
        <v>3</v>
      </c>
      <c r="C31" s="90" t="s">
        <v>74</v>
      </c>
      <c r="D31" s="80"/>
      <c r="E31" s="19" t="s">
        <v>75</v>
      </c>
      <c r="F31" s="34">
        <v>1.0763888888888891E-2</v>
      </c>
      <c r="G31" s="18"/>
      <c r="H31" s="1"/>
    </row>
    <row r="32" spans="1:8" ht="12.5" customHeight="1" x14ac:dyDescent="0.25">
      <c r="A32" s="27" t="s">
        <v>69</v>
      </c>
      <c r="B32" s="29">
        <v>4</v>
      </c>
      <c r="C32" s="90" t="s">
        <v>76</v>
      </c>
      <c r="D32" s="80"/>
      <c r="E32" s="19" t="s">
        <v>77</v>
      </c>
      <c r="F32" s="34">
        <v>9.2361111111111116E-3</v>
      </c>
      <c r="G32" s="18"/>
      <c r="H32" s="1"/>
    </row>
    <row r="33" spans="1:8" ht="12.5" customHeight="1" x14ac:dyDescent="0.25">
      <c r="A33" s="27" t="s">
        <v>69</v>
      </c>
      <c r="B33" s="29">
        <v>5</v>
      </c>
      <c r="C33" s="90" t="s">
        <v>78</v>
      </c>
      <c r="D33" s="80"/>
      <c r="E33" s="19" t="s">
        <v>79</v>
      </c>
      <c r="F33" s="34">
        <v>3.1018518518518522E-3</v>
      </c>
      <c r="G33" s="18"/>
      <c r="H33" s="1"/>
    </row>
    <row r="34" spans="1:8" ht="12.5" customHeight="1" x14ac:dyDescent="0.25">
      <c r="A34" s="1"/>
      <c r="B34" s="1"/>
      <c r="C34" s="1"/>
      <c r="D34" s="1"/>
      <c r="E34" s="1"/>
      <c r="F34" s="1"/>
      <c r="G34" s="1"/>
      <c r="H34" s="1"/>
    </row>
    <row r="35" spans="1:8" ht="12.5" customHeight="1" x14ac:dyDescent="0.25">
      <c r="A35" s="93" t="s">
        <v>80</v>
      </c>
      <c r="B35" s="80"/>
      <c r="C35" s="83" t="s">
        <v>81</v>
      </c>
      <c r="D35" s="80"/>
      <c r="E35" s="79" t="s">
        <v>43</v>
      </c>
      <c r="F35" s="80"/>
      <c r="G35" s="58" t="s">
        <v>44</v>
      </c>
      <c r="H35" s="22" t="s">
        <v>56</v>
      </c>
    </row>
    <row r="36" spans="1:8" ht="12.5" customHeight="1" x14ac:dyDescent="0.25">
      <c r="A36" s="84" t="s">
        <v>45</v>
      </c>
      <c r="B36" s="85"/>
      <c r="C36" s="89" t="s">
        <v>46</v>
      </c>
      <c r="D36" s="85"/>
      <c r="E36" s="81" t="s">
        <v>63</v>
      </c>
      <c r="F36" s="82"/>
      <c r="G36" s="59" t="s">
        <v>48</v>
      </c>
      <c r="H36" s="9">
        <f>SUM(F38:F39)</f>
        <v>8.2638888888888883E-3</v>
      </c>
    </row>
    <row r="37" spans="1:8" ht="12.5" customHeight="1" x14ac:dyDescent="0.25">
      <c r="A37" s="86"/>
      <c r="B37" s="87"/>
      <c r="C37" s="86"/>
      <c r="D37" s="87"/>
      <c r="E37" s="15" t="s">
        <v>49</v>
      </c>
      <c r="F37" s="16" t="s">
        <v>50</v>
      </c>
      <c r="G37" s="17"/>
      <c r="H37" s="1"/>
    </row>
    <row r="38" spans="1:8" ht="12.5" customHeight="1" x14ac:dyDescent="0.25">
      <c r="A38" s="27" t="s">
        <v>82</v>
      </c>
      <c r="B38" s="29">
        <v>1</v>
      </c>
      <c r="C38" s="90" t="s">
        <v>83</v>
      </c>
      <c r="D38" s="80"/>
      <c r="E38" s="19" t="s">
        <v>84</v>
      </c>
      <c r="F38" s="34">
        <v>4.2129629629629626E-3</v>
      </c>
      <c r="G38" s="18"/>
      <c r="H38" s="1"/>
    </row>
    <row r="39" spans="1:8" ht="12.5" customHeight="1" x14ac:dyDescent="0.25">
      <c r="A39" s="27" t="s">
        <v>82</v>
      </c>
      <c r="B39" s="29">
        <v>2</v>
      </c>
      <c r="C39" s="90" t="s">
        <v>85</v>
      </c>
      <c r="D39" s="80"/>
      <c r="E39" s="19" t="s">
        <v>86</v>
      </c>
      <c r="F39" s="34">
        <v>4.0509259259259257E-3</v>
      </c>
      <c r="G39" s="18"/>
      <c r="H39" s="1"/>
    </row>
    <row r="40" spans="1:8" ht="12.5" customHeight="1" x14ac:dyDescent="0.25">
      <c r="A40" s="1"/>
      <c r="B40" s="1"/>
      <c r="C40" s="1"/>
      <c r="D40" s="1"/>
      <c r="E40" s="1"/>
      <c r="F40" s="1"/>
      <c r="G40" s="1"/>
      <c r="H40" s="1"/>
    </row>
    <row r="41" spans="1:8" ht="12.5" customHeight="1" x14ac:dyDescent="0.25">
      <c r="A41" s="93" t="s">
        <v>87</v>
      </c>
      <c r="B41" s="80"/>
      <c r="C41" s="83" t="s">
        <v>88</v>
      </c>
      <c r="D41" s="80"/>
      <c r="E41" s="79" t="s">
        <v>43</v>
      </c>
      <c r="F41" s="80"/>
      <c r="G41" s="58" t="s">
        <v>44</v>
      </c>
      <c r="H41" s="22" t="s">
        <v>56</v>
      </c>
    </row>
    <row r="42" spans="1:8" ht="12.5" customHeight="1" x14ac:dyDescent="0.25">
      <c r="A42" s="84" t="s">
        <v>45</v>
      </c>
      <c r="B42" s="85"/>
      <c r="C42" s="89" t="s">
        <v>46</v>
      </c>
      <c r="D42" s="85"/>
      <c r="E42" s="81" t="s">
        <v>63</v>
      </c>
      <c r="F42" s="82"/>
      <c r="G42" s="59" t="s">
        <v>48</v>
      </c>
      <c r="H42" s="9">
        <f>SUM(F44:F46)</f>
        <v>1.4479166666666668E-2</v>
      </c>
    </row>
    <row r="43" spans="1:8" ht="12.5" customHeight="1" x14ac:dyDescent="0.25">
      <c r="A43" s="86"/>
      <c r="B43" s="87"/>
      <c r="C43" s="86"/>
      <c r="D43" s="87"/>
      <c r="E43" s="15" t="s">
        <v>49</v>
      </c>
      <c r="F43" s="16" t="s">
        <v>50</v>
      </c>
      <c r="G43" s="17"/>
      <c r="H43" s="1"/>
    </row>
    <row r="44" spans="1:8" ht="12.5" customHeight="1" x14ac:dyDescent="0.25">
      <c r="A44" s="27" t="s">
        <v>89</v>
      </c>
      <c r="B44" s="29">
        <v>1</v>
      </c>
      <c r="C44" s="90" t="s">
        <v>90</v>
      </c>
      <c r="D44" s="80"/>
      <c r="E44" s="19" t="s">
        <v>91</v>
      </c>
      <c r="F44" s="34">
        <v>4.5949074074074078E-3</v>
      </c>
      <c r="G44" s="18"/>
      <c r="H44" s="1"/>
    </row>
    <row r="45" spans="1:8" ht="12.5" customHeight="1" x14ac:dyDescent="0.25">
      <c r="A45" s="27" t="s">
        <v>89</v>
      </c>
      <c r="B45" s="29">
        <v>2</v>
      </c>
      <c r="C45" s="90" t="s">
        <v>92</v>
      </c>
      <c r="D45" s="80"/>
      <c r="E45" s="19" t="s">
        <v>93</v>
      </c>
      <c r="F45" s="34">
        <v>5.6365740740740742E-3</v>
      </c>
      <c r="G45" s="18"/>
      <c r="H45" s="1"/>
    </row>
    <row r="46" spans="1:8" ht="12.5" customHeight="1" x14ac:dyDescent="0.25">
      <c r="A46" s="27" t="s">
        <v>89</v>
      </c>
      <c r="B46" s="29">
        <v>3</v>
      </c>
      <c r="C46" s="90" t="s">
        <v>94</v>
      </c>
      <c r="D46" s="80"/>
      <c r="E46" s="19" t="s">
        <v>95</v>
      </c>
      <c r="F46" s="34">
        <v>4.2476851851851851E-3</v>
      </c>
      <c r="G46" s="18"/>
      <c r="H46" s="1"/>
    </row>
    <row r="47" spans="1:8" ht="12.5" customHeight="1" x14ac:dyDescent="0.25">
      <c r="A47" s="1"/>
      <c r="B47" s="1"/>
      <c r="C47" s="1"/>
      <c r="D47" s="1"/>
      <c r="E47" s="1"/>
      <c r="F47" s="1"/>
      <c r="G47" s="1"/>
      <c r="H47" s="1"/>
    </row>
    <row r="48" spans="1:8" ht="12.5" customHeight="1" x14ac:dyDescent="0.25">
      <c r="A48" s="93" t="s">
        <v>96</v>
      </c>
      <c r="B48" s="80"/>
      <c r="C48" s="88" t="s">
        <v>97</v>
      </c>
      <c r="D48" s="80"/>
      <c r="E48" s="79" t="s">
        <v>43</v>
      </c>
      <c r="F48" s="80"/>
      <c r="G48" s="58" t="s">
        <v>44</v>
      </c>
      <c r="H48" s="22" t="s">
        <v>56</v>
      </c>
    </row>
    <row r="49" spans="1:8" ht="12.5" customHeight="1" x14ac:dyDescent="0.25">
      <c r="A49" s="84" t="s">
        <v>45</v>
      </c>
      <c r="B49" s="85"/>
      <c r="C49" s="89" t="s">
        <v>46</v>
      </c>
      <c r="D49" s="85"/>
      <c r="E49" s="81" t="s">
        <v>47</v>
      </c>
      <c r="F49" s="82"/>
      <c r="G49" s="59" t="s">
        <v>48</v>
      </c>
      <c r="H49" s="9">
        <f>SUM(F51)</f>
        <v>5.138888888888889E-3</v>
      </c>
    </row>
    <row r="50" spans="1:8" ht="12.5" customHeight="1" x14ac:dyDescent="0.25">
      <c r="A50" s="86"/>
      <c r="B50" s="87"/>
      <c r="C50" s="86"/>
      <c r="D50" s="87"/>
      <c r="E50" s="15" t="s">
        <v>49</v>
      </c>
      <c r="F50" s="16" t="s">
        <v>50</v>
      </c>
      <c r="G50" s="17"/>
      <c r="H50" s="1"/>
    </row>
    <row r="51" spans="1:8" ht="12.5" customHeight="1" x14ac:dyDescent="0.25">
      <c r="A51" s="27" t="s">
        <v>98</v>
      </c>
      <c r="B51" s="29">
        <v>1</v>
      </c>
      <c r="C51" s="90" t="s">
        <v>99</v>
      </c>
      <c r="D51" s="80"/>
      <c r="E51" s="19" t="s">
        <v>100</v>
      </c>
      <c r="F51" s="34">
        <v>5.138888888888889E-3</v>
      </c>
      <c r="G51" s="18"/>
      <c r="H51" s="1"/>
    </row>
    <row r="52" spans="1:8" ht="12.5" customHeight="1" x14ac:dyDescent="0.25">
      <c r="A52" s="1"/>
      <c r="B52" s="1"/>
      <c r="C52" s="1"/>
      <c r="D52" s="1"/>
      <c r="E52" s="1"/>
      <c r="F52" s="1"/>
      <c r="G52" s="1"/>
      <c r="H52" s="1"/>
    </row>
    <row r="53" spans="1:8" ht="12.5" customHeight="1" x14ac:dyDescent="0.25">
      <c r="A53" s="93" t="s">
        <v>101</v>
      </c>
      <c r="B53" s="80"/>
      <c r="C53" s="88" t="s">
        <v>102</v>
      </c>
      <c r="D53" s="80"/>
      <c r="E53" s="79" t="s">
        <v>43</v>
      </c>
      <c r="F53" s="80"/>
      <c r="G53" s="58" t="s">
        <v>44</v>
      </c>
      <c r="H53" s="22" t="s">
        <v>56</v>
      </c>
    </row>
    <row r="54" spans="1:8" ht="12.5" customHeight="1" x14ac:dyDescent="0.25">
      <c r="A54" s="84" t="s">
        <v>45</v>
      </c>
      <c r="B54" s="85"/>
      <c r="C54" s="89" t="s">
        <v>46</v>
      </c>
      <c r="D54" s="85"/>
      <c r="E54" s="81" t="s">
        <v>47</v>
      </c>
      <c r="F54" s="82"/>
      <c r="G54" s="59" t="s">
        <v>48</v>
      </c>
      <c r="H54" s="9">
        <v>0</v>
      </c>
    </row>
    <row r="55" spans="1:8" ht="12.5" customHeight="1" x14ac:dyDescent="0.25">
      <c r="A55" s="86"/>
      <c r="B55" s="87"/>
      <c r="C55" s="86"/>
      <c r="D55" s="87"/>
      <c r="E55" s="15" t="s">
        <v>49</v>
      </c>
      <c r="F55" s="16" t="s">
        <v>50</v>
      </c>
      <c r="G55" s="17"/>
      <c r="H55" s="1"/>
    </row>
    <row r="56" spans="1:8" ht="12.5" customHeight="1" x14ac:dyDescent="0.25">
      <c r="A56" s="27" t="s">
        <v>103</v>
      </c>
      <c r="B56" s="29">
        <v>1</v>
      </c>
      <c r="C56" s="90" t="s">
        <v>104</v>
      </c>
      <c r="D56" s="80"/>
      <c r="E56" s="19"/>
      <c r="F56" s="18"/>
      <c r="G56" s="18"/>
      <c r="H56" s="1"/>
    </row>
  </sheetData>
  <mergeCells count="70">
    <mergeCell ref="E54:F54"/>
    <mergeCell ref="A54:B55"/>
    <mergeCell ref="E7:F7"/>
    <mergeCell ref="C54:D55"/>
    <mergeCell ref="A7:B8"/>
    <mergeCell ref="E41:F41"/>
    <mergeCell ref="A36:B37"/>
    <mergeCell ref="C19:D19"/>
    <mergeCell ref="C38:D38"/>
    <mergeCell ref="E22:F22"/>
    <mergeCell ref="E53:F53"/>
    <mergeCell ref="C53:D53"/>
    <mergeCell ref="A27:B28"/>
    <mergeCell ref="E21:F21"/>
    <mergeCell ref="C44:D44"/>
    <mergeCell ref="C9:D9"/>
    <mergeCell ref="E6:F6"/>
    <mergeCell ref="C46:D46"/>
    <mergeCell ref="C21:D21"/>
    <mergeCell ref="C11:D11"/>
    <mergeCell ref="C51:D51"/>
    <mergeCell ref="E11:F11"/>
    <mergeCell ref="E27:F27"/>
    <mergeCell ref="E49:F49"/>
    <mergeCell ref="C49:D50"/>
    <mergeCell ref="E36:F36"/>
    <mergeCell ref="E26:F26"/>
    <mergeCell ref="C48:D48"/>
    <mergeCell ref="C39:D39"/>
    <mergeCell ref="C22:D23"/>
    <mergeCell ref="C42:D43"/>
    <mergeCell ref="C32:D32"/>
    <mergeCell ref="C56:D56"/>
    <mergeCell ref="A26:B26"/>
    <mergeCell ref="A21:B21"/>
    <mergeCell ref="A49:B50"/>
    <mergeCell ref="A53:B53"/>
    <mergeCell ref="A35:B35"/>
    <mergeCell ref="A48:B48"/>
    <mergeCell ref="C45:D45"/>
    <mergeCell ref="A11:B11"/>
    <mergeCell ref="A6:B6"/>
    <mergeCell ref="C17:D18"/>
    <mergeCell ref="C35:D35"/>
    <mergeCell ref="A22:B23"/>
    <mergeCell ref="C7:D8"/>
    <mergeCell ref="C33:D33"/>
    <mergeCell ref="C27:D28"/>
    <mergeCell ref="A16:B16"/>
    <mergeCell ref="C29:D29"/>
    <mergeCell ref="C16:D16"/>
    <mergeCell ref="A17:B18"/>
    <mergeCell ref="C31:D31"/>
    <mergeCell ref="C6:D6"/>
    <mergeCell ref="C12:D13"/>
    <mergeCell ref="C30:D30"/>
    <mergeCell ref="C24:D24"/>
    <mergeCell ref="C15:D15"/>
    <mergeCell ref="E48:F48"/>
    <mergeCell ref="E17:F17"/>
    <mergeCell ref="C26:D26"/>
    <mergeCell ref="E12:F12"/>
    <mergeCell ref="A12:B13"/>
    <mergeCell ref="E35:F35"/>
    <mergeCell ref="A42:B43"/>
    <mergeCell ref="A41:B41"/>
    <mergeCell ref="C41:D41"/>
    <mergeCell ref="E16:F16"/>
    <mergeCell ref="E42:F42"/>
    <mergeCell ref="C36:D37"/>
  </mergeCells>
  <phoneticPr fontId="1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81"/>
  <sheetViews>
    <sheetView tabSelected="1" workbookViewId="0">
      <selection activeCell="C85" sqref="C85"/>
    </sheetView>
  </sheetViews>
  <sheetFormatPr defaultColWidth="12.6328125" defaultRowHeight="15.75" customHeight="1" x14ac:dyDescent="0.25"/>
  <cols>
    <col min="1" max="2" width="4.26953125" customWidth="1"/>
    <col min="4" max="4" width="42.90625" customWidth="1"/>
    <col min="5" max="5" width="22.453125" customWidth="1"/>
  </cols>
  <sheetData>
    <row r="1" spans="1:8" ht="15.75" customHeight="1" x14ac:dyDescent="0.3">
      <c r="B1" s="1"/>
      <c r="C1" s="3" t="s">
        <v>32</v>
      </c>
      <c r="D1" s="5"/>
      <c r="E1" s="6" t="s">
        <v>34</v>
      </c>
      <c r="F1" s="9"/>
      <c r="G1" s="1"/>
      <c r="H1" s="1"/>
    </row>
    <row r="2" spans="1:8" ht="15.75" customHeight="1" x14ac:dyDescent="0.3">
      <c r="A2" s="1"/>
      <c r="B2" s="1"/>
      <c r="C2" s="3" t="s">
        <v>35</v>
      </c>
      <c r="D2" s="65" t="s">
        <v>246</v>
      </c>
      <c r="E2" s="6" t="s">
        <v>37</v>
      </c>
      <c r="F2" s="10"/>
      <c r="G2" s="1"/>
      <c r="H2" s="1"/>
    </row>
    <row r="3" spans="1:8" ht="15.75" customHeight="1" x14ac:dyDescent="0.3">
      <c r="A3" s="1"/>
      <c r="B3" s="1"/>
      <c r="C3" s="6" t="s">
        <v>38</v>
      </c>
      <c r="D3" s="1"/>
      <c r="E3" s="6" t="s">
        <v>39</v>
      </c>
      <c r="F3" s="10">
        <v>2</v>
      </c>
      <c r="G3" s="1"/>
      <c r="H3" s="1"/>
    </row>
    <row r="4" spans="1:8" ht="15.75" customHeight="1" x14ac:dyDescent="0.3">
      <c r="A4" s="1"/>
      <c r="B4" s="1"/>
      <c r="C4" s="6" t="s">
        <v>40</v>
      </c>
      <c r="D4" s="1"/>
      <c r="E4" s="6" t="s">
        <v>41</v>
      </c>
      <c r="F4" s="10">
        <v>0</v>
      </c>
      <c r="G4" s="1"/>
      <c r="H4" s="1"/>
    </row>
    <row r="5" spans="1:8" ht="15.75" customHeight="1" x14ac:dyDescent="0.25">
      <c r="A5" s="1"/>
      <c r="B5" s="1"/>
      <c r="C5" s="1"/>
      <c r="D5" s="1"/>
      <c r="E5" s="1"/>
      <c r="F5" s="1"/>
      <c r="G5" s="1"/>
      <c r="H5" s="1"/>
    </row>
    <row r="6" spans="1:8" ht="15.75" customHeight="1" x14ac:dyDescent="0.25">
      <c r="A6" s="92"/>
      <c r="B6" s="80"/>
      <c r="C6" s="88" t="s">
        <v>42</v>
      </c>
      <c r="D6" s="80"/>
      <c r="E6" s="79" t="s">
        <v>43</v>
      </c>
      <c r="F6" s="80"/>
      <c r="G6" s="58" t="s">
        <v>44</v>
      </c>
      <c r="H6" s="1"/>
    </row>
    <row r="7" spans="1:8" ht="15.75" customHeight="1" x14ac:dyDescent="0.3">
      <c r="A7" s="84" t="s">
        <v>45</v>
      </c>
      <c r="B7" s="85"/>
      <c r="C7" s="89" t="s">
        <v>46</v>
      </c>
      <c r="D7" s="85"/>
      <c r="E7" s="97" t="s">
        <v>249</v>
      </c>
      <c r="F7" s="82"/>
      <c r="G7" s="59"/>
      <c r="H7" s="14"/>
    </row>
    <row r="8" spans="1:8" ht="15.75" customHeight="1" x14ac:dyDescent="0.25">
      <c r="A8" s="86"/>
      <c r="B8" s="87"/>
      <c r="C8" s="86"/>
      <c r="D8" s="87"/>
      <c r="E8" s="15" t="s">
        <v>49</v>
      </c>
      <c r="F8" s="16" t="s">
        <v>50</v>
      </c>
      <c r="G8" s="17"/>
      <c r="H8" s="22" t="s">
        <v>56</v>
      </c>
    </row>
    <row r="9" spans="1:8" ht="27.5" customHeight="1" x14ac:dyDescent="0.3">
      <c r="A9" s="18"/>
      <c r="B9" s="18"/>
      <c r="C9" s="94" t="s">
        <v>247</v>
      </c>
      <c r="D9" s="80"/>
      <c r="E9" s="66" t="s">
        <v>253</v>
      </c>
      <c r="F9" s="67" t="s">
        <v>248</v>
      </c>
      <c r="G9" s="18"/>
      <c r="H9" s="14">
        <v>4.363425925925926E-3</v>
      </c>
    </row>
    <row r="10" spans="1:8" ht="15.75" customHeight="1" x14ac:dyDescent="0.25">
      <c r="A10" s="1"/>
      <c r="B10" s="1"/>
      <c r="C10" s="1"/>
      <c r="D10" s="1"/>
      <c r="E10" s="1"/>
      <c r="F10" s="1"/>
      <c r="G10" s="1"/>
      <c r="H10" s="1"/>
    </row>
    <row r="11" spans="1:8" ht="15.75" customHeight="1" x14ac:dyDescent="0.25">
      <c r="A11" s="93" t="s">
        <v>54</v>
      </c>
      <c r="B11" s="80"/>
      <c r="C11" s="88"/>
      <c r="D11" s="80"/>
      <c r="E11" s="79" t="s">
        <v>43</v>
      </c>
      <c r="F11" s="80"/>
      <c r="G11" s="58" t="s">
        <v>44</v>
      </c>
      <c r="H11" s="22" t="s">
        <v>56</v>
      </c>
    </row>
    <row r="12" spans="1:8" ht="15.75" customHeight="1" x14ac:dyDescent="0.3">
      <c r="A12" s="84" t="s">
        <v>45</v>
      </c>
      <c r="B12" s="85"/>
      <c r="C12" s="89" t="s">
        <v>46</v>
      </c>
      <c r="D12" s="85"/>
      <c r="E12" s="97" t="s">
        <v>251</v>
      </c>
      <c r="F12" s="82"/>
      <c r="G12" s="59"/>
      <c r="H12" s="9">
        <v>4.3749999999999995E-3</v>
      </c>
    </row>
    <row r="13" spans="1:8" ht="15.75" customHeight="1" x14ac:dyDescent="0.25">
      <c r="A13" s="86"/>
      <c r="B13" s="87"/>
      <c r="C13" s="86"/>
      <c r="D13" s="87"/>
      <c r="E13" s="15" t="s">
        <v>49</v>
      </c>
      <c r="F13" s="16" t="s">
        <v>50</v>
      </c>
      <c r="G13" s="17"/>
      <c r="H13" s="1"/>
    </row>
    <row r="14" spans="1:8" ht="20" customHeight="1" x14ac:dyDescent="0.3">
      <c r="A14" s="68" t="s">
        <v>58</v>
      </c>
      <c r="B14" s="69">
        <v>1</v>
      </c>
      <c r="C14" s="98" t="s">
        <v>250</v>
      </c>
      <c r="D14" s="85"/>
      <c r="E14" s="70" t="s">
        <v>252</v>
      </c>
      <c r="F14" s="74">
        <v>2.0833333333333333E-3</v>
      </c>
      <c r="G14" s="71"/>
      <c r="H14" s="1"/>
    </row>
    <row r="15" spans="1:8" ht="20" customHeight="1" x14ac:dyDescent="0.3">
      <c r="A15" s="73" t="s">
        <v>256</v>
      </c>
      <c r="B15" s="29">
        <v>2</v>
      </c>
      <c r="C15" s="99" t="s">
        <v>255</v>
      </c>
      <c r="D15" s="85"/>
      <c r="E15" s="70" t="s">
        <v>254</v>
      </c>
      <c r="F15" s="74">
        <v>2.2916666666666667E-3</v>
      </c>
      <c r="G15" s="18"/>
      <c r="H15" s="72"/>
    </row>
    <row r="16" spans="1:8" ht="15.75" customHeight="1" x14ac:dyDescent="0.25">
      <c r="A16" s="64"/>
      <c r="B16" s="18"/>
      <c r="C16" s="18"/>
      <c r="D16" s="18"/>
      <c r="E16" s="18"/>
      <c r="F16" s="18"/>
      <c r="G16" s="18"/>
      <c r="H16" s="72"/>
    </row>
    <row r="17" spans="1:8" ht="15.75" customHeight="1" x14ac:dyDescent="0.25">
      <c r="A17" s="93" t="s">
        <v>61</v>
      </c>
      <c r="B17" s="80"/>
      <c r="C17" s="83"/>
      <c r="D17" s="80"/>
      <c r="E17" s="79" t="s">
        <v>43</v>
      </c>
      <c r="F17" s="80"/>
      <c r="G17" s="58" t="s">
        <v>44</v>
      </c>
      <c r="H17" s="22" t="s">
        <v>56</v>
      </c>
    </row>
    <row r="18" spans="1:8" ht="15.75" customHeight="1" x14ac:dyDescent="0.25">
      <c r="A18" s="84" t="s">
        <v>45</v>
      </c>
      <c r="B18" s="85"/>
      <c r="C18" s="89" t="s">
        <v>46</v>
      </c>
      <c r="D18" s="85"/>
      <c r="E18" s="81" t="s">
        <v>63</v>
      </c>
      <c r="F18" s="82"/>
      <c r="G18" s="59" t="s">
        <v>48</v>
      </c>
      <c r="H18" s="9">
        <f>F20</f>
        <v>5.8217592592592592E-3</v>
      </c>
    </row>
    <row r="19" spans="1:8" ht="15.75" customHeight="1" x14ac:dyDescent="0.25">
      <c r="A19" s="86"/>
      <c r="B19" s="87"/>
      <c r="C19" s="86"/>
      <c r="D19" s="87"/>
      <c r="E19" s="15" t="s">
        <v>49</v>
      </c>
      <c r="F19" s="16" t="s">
        <v>50</v>
      </c>
      <c r="G19" s="17"/>
      <c r="H19" s="1"/>
    </row>
    <row r="20" spans="1:8" ht="29" customHeight="1" x14ac:dyDescent="0.25">
      <c r="A20" s="27" t="s">
        <v>64</v>
      </c>
      <c r="B20" s="29">
        <v>1</v>
      </c>
      <c r="C20" s="94" t="s">
        <v>259</v>
      </c>
      <c r="D20" s="80"/>
      <c r="E20" s="66" t="s">
        <v>257</v>
      </c>
      <c r="F20" s="34">
        <v>5.8217592592592592E-3</v>
      </c>
      <c r="G20" s="18"/>
      <c r="H20" s="1"/>
    </row>
    <row r="21" spans="1:8" ht="15.75" customHeight="1" x14ac:dyDescent="0.25">
      <c r="A21" s="1"/>
      <c r="B21" s="1"/>
      <c r="C21" s="1"/>
      <c r="D21" s="1"/>
      <c r="E21" s="1"/>
      <c r="F21" s="1"/>
      <c r="G21" s="1"/>
      <c r="H21" s="1"/>
    </row>
    <row r="22" spans="1:8" ht="15.75" customHeight="1" x14ac:dyDescent="0.25">
      <c r="A22" s="93" t="s">
        <v>67</v>
      </c>
      <c r="B22" s="80"/>
      <c r="C22" s="83"/>
      <c r="D22" s="80"/>
      <c r="E22" s="79" t="s">
        <v>43</v>
      </c>
      <c r="F22" s="80"/>
      <c r="G22" s="58" t="s">
        <v>44</v>
      </c>
      <c r="H22" s="22" t="s">
        <v>56</v>
      </c>
    </row>
    <row r="23" spans="1:8" ht="12.5" customHeight="1" x14ac:dyDescent="0.25">
      <c r="A23" s="84" t="s">
        <v>45</v>
      </c>
      <c r="B23" s="85"/>
      <c r="C23" s="89" t="s">
        <v>46</v>
      </c>
      <c r="D23" s="85"/>
      <c r="E23" s="81" t="s">
        <v>57</v>
      </c>
      <c r="F23" s="82"/>
      <c r="G23" s="59" t="s">
        <v>48</v>
      </c>
      <c r="H23" s="9">
        <f>SUM(F25)</f>
        <v>5.3587962962962964E-3</v>
      </c>
    </row>
    <row r="24" spans="1:8" ht="12.5" customHeight="1" x14ac:dyDescent="0.25">
      <c r="A24" s="86"/>
      <c r="B24" s="87"/>
      <c r="C24" s="86"/>
      <c r="D24" s="87"/>
      <c r="E24" s="15" t="s">
        <v>49</v>
      </c>
      <c r="F24" s="16" t="s">
        <v>50</v>
      </c>
      <c r="G24" s="17"/>
      <c r="H24" s="1"/>
    </row>
    <row r="25" spans="1:8" ht="34.5" customHeight="1" x14ac:dyDescent="0.3">
      <c r="A25" s="27" t="s">
        <v>69</v>
      </c>
      <c r="B25" s="29">
        <v>1</v>
      </c>
      <c r="C25" s="94" t="s">
        <v>260</v>
      </c>
      <c r="D25" s="80"/>
      <c r="E25" s="66" t="s">
        <v>258</v>
      </c>
      <c r="F25" s="34">
        <v>5.3587962962962964E-3</v>
      </c>
      <c r="G25" s="18"/>
      <c r="H25" s="1"/>
    </row>
    <row r="26" spans="1:8" ht="12.5" customHeight="1" x14ac:dyDescent="0.25">
      <c r="A26" s="1"/>
      <c r="B26" s="1"/>
      <c r="C26" s="1"/>
      <c r="D26" s="1"/>
      <c r="E26" s="1"/>
      <c r="F26" s="1"/>
      <c r="G26" s="1"/>
      <c r="H26" s="1"/>
    </row>
    <row r="27" spans="1:8" ht="12.5" customHeight="1" x14ac:dyDescent="0.25">
      <c r="A27" s="93" t="s">
        <v>80</v>
      </c>
      <c r="B27" s="80"/>
      <c r="C27" s="83"/>
      <c r="D27" s="80"/>
      <c r="E27" s="79" t="s">
        <v>43</v>
      </c>
      <c r="F27" s="80"/>
      <c r="G27" s="58" t="s">
        <v>44</v>
      </c>
      <c r="H27" s="22" t="s">
        <v>56</v>
      </c>
    </row>
    <row r="28" spans="1:8" ht="12.5" customHeight="1" x14ac:dyDescent="0.25">
      <c r="A28" s="84" t="s">
        <v>45</v>
      </c>
      <c r="B28" s="85"/>
      <c r="C28" s="89" t="s">
        <v>46</v>
      </c>
      <c r="D28" s="85"/>
      <c r="E28" s="81" t="s">
        <v>63</v>
      </c>
      <c r="F28" s="82"/>
      <c r="G28" s="59" t="s">
        <v>48</v>
      </c>
      <c r="H28" s="9">
        <f>SUM(F30)</f>
        <v>5.5555555555555558E-3</v>
      </c>
    </row>
    <row r="29" spans="1:8" ht="12.5" customHeight="1" x14ac:dyDescent="0.25">
      <c r="A29" s="86"/>
      <c r="B29" s="87"/>
      <c r="C29" s="86"/>
      <c r="D29" s="87"/>
      <c r="E29" s="15" t="s">
        <v>49</v>
      </c>
      <c r="F29" s="16" t="s">
        <v>50</v>
      </c>
      <c r="G29" s="17"/>
      <c r="H29" s="1"/>
    </row>
    <row r="30" spans="1:8" ht="20.5" customHeight="1" x14ac:dyDescent="0.3">
      <c r="A30" s="27" t="s">
        <v>82</v>
      </c>
      <c r="B30" s="29">
        <v>1</v>
      </c>
      <c r="C30" s="94" t="s">
        <v>261</v>
      </c>
      <c r="D30" s="80"/>
      <c r="E30" s="66" t="s">
        <v>262</v>
      </c>
      <c r="F30" s="34">
        <v>5.5555555555555558E-3</v>
      </c>
      <c r="G30" s="18"/>
      <c r="H30" s="1"/>
    </row>
    <row r="31" spans="1:8" ht="12.5" customHeight="1" x14ac:dyDescent="0.25">
      <c r="A31" s="1"/>
      <c r="B31" s="1"/>
      <c r="C31" s="1"/>
      <c r="D31" s="1"/>
      <c r="E31" s="1"/>
      <c r="F31" s="1"/>
      <c r="G31" s="1"/>
      <c r="H31" s="1"/>
    </row>
    <row r="32" spans="1:8" ht="12.5" customHeight="1" x14ac:dyDescent="0.25">
      <c r="A32" s="93" t="s">
        <v>87</v>
      </c>
      <c r="B32" s="80"/>
      <c r="C32" s="83"/>
      <c r="D32" s="80"/>
      <c r="E32" s="79" t="s">
        <v>43</v>
      </c>
      <c r="F32" s="80"/>
      <c r="G32" s="58" t="s">
        <v>44</v>
      </c>
      <c r="H32" s="22" t="s">
        <v>56</v>
      </c>
    </row>
    <row r="33" spans="1:8" ht="12.5" customHeight="1" x14ac:dyDescent="0.25">
      <c r="A33" s="84" t="s">
        <v>45</v>
      </c>
      <c r="B33" s="85"/>
      <c r="C33" s="89" t="s">
        <v>46</v>
      </c>
      <c r="D33" s="85"/>
      <c r="E33" s="81" t="s">
        <v>63</v>
      </c>
      <c r="F33" s="82"/>
      <c r="G33" s="59" t="s">
        <v>48</v>
      </c>
      <c r="H33" s="9">
        <f>SUM(F35)</f>
        <v>6.6087962962962966E-3</v>
      </c>
    </row>
    <row r="34" spans="1:8" ht="12.5" customHeight="1" x14ac:dyDescent="0.25">
      <c r="A34" s="86"/>
      <c r="B34" s="87"/>
      <c r="C34" s="86"/>
      <c r="D34" s="87"/>
      <c r="E34" s="15" t="s">
        <v>49</v>
      </c>
      <c r="F34" s="16" t="s">
        <v>50</v>
      </c>
      <c r="G34" s="17"/>
      <c r="H34" s="1"/>
    </row>
    <row r="35" spans="1:8" ht="37" customHeight="1" x14ac:dyDescent="0.3">
      <c r="A35" s="27" t="s">
        <v>89</v>
      </c>
      <c r="B35" s="29">
        <v>1</v>
      </c>
      <c r="C35" s="94" t="s">
        <v>263</v>
      </c>
      <c r="D35" s="80"/>
      <c r="E35" s="66" t="s">
        <v>264</v>
      </c>
      <c r="F35" s="34">
        <v>6.6087962962962966E-3</v>
      </c>
      <c r="G35" s="18"/>
      <c r="H35" s="1"/>
    </row>
    <row r="36" spans="1:8" ht="12.5" customHeight="1" x14ac:dyDescent="0.25">
      <c r="A36" s="1"/>
      <c r="B36" s="1"/>
      <c r="C36" s="1"/>
      <c r="D36" s="1"/>
      <c r="E36" s="1"/>
      <c r="F36" s="1"/>
      <c r="G36" s="1"/>
      <c r="H36" s="1"/>
    </row>
    <row r="37" spans="1:8" ht="12.5" customHeight="1" x14ac:dyDescent="0.25">
      <c r="A37" s="93" t="s">
        <v>96</v>
      </c>
      <c r="B37" s="80"/>
      <c r="C37" s="88"/>
      <c r="D37" s="80"/>
      <c r="E37" s="79" t="s">
        <v>43</v>
      </c>
      <c r="F37" s="80"/>
      <c r="G37" s="58" t="s">
        <v>44</v>
      </c>
      <c r="H37" s="22" t="s">
        <v>56</v>
      </c>
    </row>
    <row r="38" spans="1:8" ht="12.5" customHeight="1" x14ac:dyDescent="0.25">
      <c r="A38" s="84" t="s">
        <v>45</v>
      </c>
      <c r="B38" s="85"/>
      <c r="C38" s="89" t="s">
        <v>46</v>
      </c>
      <c r="D38" s="85"/>
      <c r="E38" s="81" t="s">
        <v>47</v>
      </c>
      <c r="F38" s="82"/>
      <c r="G38" s="59" t="s">
        <v>48</v>
      </c>
      <c r="H38" s="9">
        <f>SUM(F40)</f>
        <v>1.1458333333333334E-2</v>
      </c>
    </row>
    <row r="39" spans="1:8" ht="12.5" customHeight="1" x14ac:dyDescent="0.25">
      <c r="A39" s="86"/>
      <c r="B39" s="87"/>
      <c r="C39" s="86"/>
      <c r="D39" s="87"/>
      <c r="E39" s="15" t="s">
        <v>49</v>
      </c>
      <c r="F39" s="16" t="s">
        <v>50</v>
      </c>
      <c r="G39" s="17"/>
      <c r="H39" s="1"/>
    </row>
    <row r="40" spans="1:8" ht="30" customHeight="1" x14ac:dyDescent="0.3">
      <c r="A40" s="27" t="s">
        <v>98</v>
      </c>
      <c r="B40" s="29">
        <v>1</v>
      </c>
      <c r="C40" s="94" t="s">
        <v>268</v>
      </c>
      <c r="D40" s="80"/>
      <c r="E40" s="66" t="s">
        <v>265</v>
      </c>
      <c r="F40" s="34">
        <v>1.1458333333333334E-2</v>
      </c>
      <c r="G40" s="18"/>
      <c r="H40" s="1"/>
    </row>
    <row r="41" spans="1:8" ht="12.5" customHeight="1" x14ac:dyDescent="0.25">
      <c r="A41" s="1"/>
      <c r="B41" s="1"/>
      <c r="C41" s="1"/>
      <c r="D41" s="1"/>
      <c r="E41" s="1"/>
      <c r="F41" s="1"/>
      <c r="G41" s="1"/>
      <c r="H41" s="1"/>
    </row>
    <row r="42" spans="1:8" ht="12.5" customHeight="1" x14ac:dyDescent="0.25">
      <c r="A42" s="93" t="s">
        <v>101</v>
      </c>
      <c r="B42" s="80"/>
      <c r="C42" s="88"/>
      <c r="D42" s="80"/>
      <c r="E42" s="79" t="s">
        <v>43</v>
      </c>
      <c r="F42" s="80"/>
      <c r="G42" s="58" t="s">
        <v>44</v>
      </c>
      <c r="H42" s="22" t="s">
        <v>56</v>
      </c>
    </row>
    <row r="43" spans="1:8" ht="12.5" customHeight="1" x14ac:dyDescent="0.25">
      <c r="A43" s="84" t="s">
        <v>45</v>
      </c>
      <c r="B43" s="85"/>
      <c r="C43" s="89" t="s">
        <v>46</v>
      </c>
      <c r="D43" s="85"/>
      <c r="E43" s="81" t="s">
        <v>47</v>
      </c>
      <c r="F43" s="82"/>
      <c r="G43" s="59" t="s">
        <v>48</v>
      </c>
      <c r="H43" s="9">
        <v>2.5115740740740741E-3</v>
      </c>
    </row>
    <row r="44" spans="1:8" ht="12.5" customHeight="1" x14ac:dyDescent="0.25">
      <c r="A44" s="86"/>
      <c r="B44" s="87"/>
      <c r="C44" s="86"/>
      <c r="D44" s="87"/>
      <c r="E44" s="15" t="s">
        <v>49</v>
      </c>
      <c r="F44" s="16" t="s">
        <v>50</v>
      </c>
      <c r="G44" s="17"/>
      <c r="H44" s="1"/>
    </row>
    <row r="45" spans="1:8" ht="14.5" customHeight="1" x14ac:dyDescent="0.3">
      <c r="A45" s="27" t="s">
        <v>103</v>
      </c>
      <c r="B45" s="29">
        <v>1</v>
      </c>
      <c r="C45" s="94" t="s">
        <v>267</v>
      </c>
      <c r="D45" s="80"/>
      <c r="E45" s="66" t="s">
        <v>266</v>
      </c>
      <c r="F45" s="75">
        <v>2.5115740740740741E-3</v>
      </c>
      <c r="G45" s="18"/>
      <c r="H45" s="1"/>
    </row>
    <row r="46" spans="1:8" ht="12.5" customHeight="1" x14ac:dyDescent="0.3">
      <c r="A46" s="95" t="s">
        <v>277</v>
      </c>
      <c r="B46" s="80"/>
      <c r="C46" s="88"/>
      <c r="D46" s="80"/>
      <c r="E46" s="79" t="s">
        <v>43</v>
      </c>
      <c r="F46" s="80"/>
      <c r="G46" s="62" t="s">
        <v>44</v>
      </c>
      <c r="H46" s="22" t="s">
        <v>56</v>
      </c>
    </row>
    <row r="47" spans="1:8" ht="12.5" customHeight="1" x14ac:dyDescent="0.25">
      <c r="A47" s="84" t="s">
        <v>45</v>
      </c>
      <c r="B47" s="85"/>
      <c r="C47" s="89" t="s">
        <v>46</v>
      </c>
      <c r="D47" s="85"/>
      <c r="E47" s="81" t="s">
        <v>47</v>
      </c>
      <c r="F47" s="82"/>
      <c r="G47" s="63" t="s">
        <v>48</v>
      </c>
      <c r="H47" s="9">
        <v>8.2986111111111108E-3</v>
      </c>
    </row>
    <row r="48" spans="1:8" ht="12.5" customHeight="1" x14ac:dyDescent="0.25">
      <c r="A48" s="86"/>
      <c r="B48" s="87"/>
      <c r="C48" s="86"/>
      <c r="D48" s="87"/>
      <c r="E48" s="15" t="s">
        <v>49</v>
      </c>
      <c r="F48" s="16" t="s">
        <v>50</v>
      </c>
      <c r="G48" s="17"/>
      <c r="H48" s="1"/>
    </row>
    <row r="49" spans="1:8" ht="33.5" customHeight="1" x14ac:dyDescent="0.3">
      <c r="A49" s="76" t="s">
        <v>269</v>
      </c>
      <c r="B49" s="29">
        <v>1</v>
      </c>
      <c r="C49" s="94" t="s">
        <v>291</v>
      </c>
      <c r="D49" s="80"/>
      <c r="E49" s="66" t="s">
        <v>271</v>
      </c>
      <c r="F49" s="75">
        <v>8.2986111111111108E-3</v>
      </c>
      <c r="G49" s="18"/>
      <c r="H49" s="1"/>
    </row>
    <row r="50" spans="1:8" ht="15.75" customHeight="1" x14ac:dyDescent="0.3">
      <c r="A50" s="95" t="s">
        <v>278</v>
      </c>
      <c r="B50" s="80"/>
      <c r="C50" s="88"/>
      <c r="D50" s="80"/>
      <c r="E50" s="79" t="s">
        <v>43</v>
      </c>
      <c r="F50" s="80"/>
      <c r="G50" s="62" t="s">
        <v>44</v>
      </c>
      <c r="H50" s="22" t="s">
        <v>56</v>
      </c>
    </row>
    <row r="51" spans="1:8" ht="15.75" customHeight="1" x14ac:dyDescent="0.25">
      <c r="A51" s="84" t="s">
        <v>45</v>
      </c>
      <c r="B51" s="85"/>
      <c r="C51" s="89" t="s">
        <v>46</v>
      </c>
      <c r="D51" s="85"/>
      <c r="E51" s="81" t="s">
        <v>47</v>
      </c>
      <c r="F51" s="82"/>
      <c r="G51" s="63" t="s">
        <v>48</v>
      </c>
      <c r="H51" s="9">
        <v>7.5694444444444446E-3</v>
      </c>
    </row>
    <row r="52" spans="1:8" ht="15.75" customHeight="1" x14ac:dyDescent="0.25">
      <c r="A52" s="86"/>
      <c r="B52" s="87"/>
      <c r="C52" s="86"/>
      <c r="D52" s="87"/>
      <c r="E52" s="15" t="s">
        <v>49</v>
      </c>
      <c r="F52" s="16" t="s">
        <v>50</v>
      </c>
      <c r="G52" s="17"/>
      <c r="H52" s="1"/>
    </row>
    <row r="53" spans="1:8" ht="22" customHeight="1" x14ac:dyDescent="0.3">
      <c r="A53" s="76" t="s">
        <v>270</v>
      </c>
      <c r="B53" s="29">
        <v>1</v>
      </c>
      <c r="C53" s="94" t="s">
        <v>292</v>
      </c>
      <c r="D53" s="80"/>
      <c r="E53" s="66" t="s">
        <v>274</v>
      </c>
      <c r="F53" s="75">
        <v>7.5694444444444446E-3</v>
      </c>
      <c r="G53" s="18"/>
      <c r="H53" s="1"/>
    </row>
    <row r="54" spans="1:8" ht="15.75" customHeight="1" x14ac:dyDescent="0.3">
      <c r="A54" s="95" t="s">
        <v>279</v>
      </c>
      <c r="B54" s="80"/>
      <c r="C54" s="88"/>
      <c r="D54" s="80"/>
      <c r="E54" s="79" t="s">
        <v>43</v>
      </c>
      <c r="F54" s="80"/>
      <c r="G54" s="62" t="s">
        <v>44</v>
      </c>
      <c r="H54" s="22" t="s">
        <v>56</v>
      </c>
    </row>
    <row r="55" spans="1:8" ht="15.75" customHeight="1" x14ac:dyDescent="0.25">
      <c r="A55" s="84" t="s">
        <v>45</v>
      </c>
      <c r="B55" s="85"/>
      <c r="C55" s="89" t="s">
        <v>46</v>
      </c>
      <c r="D55" s="85"/>
      <c r="E55" s="81" t="s">
        <v>47</v>
      </c>
      <c r="F55" s="82"/>
      <c r="G55" s="63" t="s">
        <v>48</v>
      </c>
      <c r="H55" s="9">
        <v>9.2129629629629627E-3</v>
      </c>
    </row>
    <row r="56" spans="1:8" ht="15.75" customHeight="1" x14ac:dyDescent="0.25">
      <c r="A56" s="86"/>
      <c r="B56" s="87"/>
      <c r="C56" s="86"/>
      <c r="D56" s="87"/>
      <c r="E56" s="15" t="s">
        <v>49</v>
      </c>
      <c r="F56" s="16" t="s">
        <v>50</v>
      </c>
      <c r="G56" s="17"/>
      <c r="H56" s="1"/>
    </row>
    <row r="57" spans="1:8" ht="27" customHeight="1" x14ac:dyDescent="0.3">
      <c r="A57" s="76" t="s">
        <v>272</v>
      </c>
      <c r="B57" s="29">
        <v>1</v>
      </c>
      <c r="C57" s="94" t="s">
        <v>293</v>
      </c>
      <c r="D57" s="80"/>
      <c r="E57" s="66" t="s">
        <v>275</v>
      </c>
      <c r="F57" s="75">
        <v>9.2129629629629627E-3</v>
      </c>
      <c r="G57" s="18"/>
      <c r="H57" s="1"/>
    </row>
    <row r="58" spans="1:8" ht="15.75" customHeight="1" x14ac:dyDescent="0.3">
      <c r="A58" s="95" t="s">
        <v>280</v>
      </c>
      <c r="B58" s="80"/>
      <c r="C58" s="88"/>
      <c r="D58" s="80"/>
      <c r="E58" s="79" t="s">
        <v>43</v>
      </c>
      <c r="F58" s="80"/>
      <c r="G58" s="62" t="s">
        <v>44</v>
      </c>
      <c r="H58" s="22" t="s">
        <v>56</v>
      </c>
    </row>
    <row r="59" spans="1:8" ht="15.75" customHeight="1" x14ac:dyDescent="0.25">
      <c r="A59" s="84" t="s">
        <v>45</v>
      </c>
      <c r="B59" s="85"/>
      <c r="C59" s="89" t="s">
        <v>46</v>
      </c>
      <c r="D59" s="85"/>
      <c r="E59" s="81" t="s">
        <v>47</v>
      </c>
      <c r="F59" s="82"/>
      <c r="G59" s="63" t="s">
        <v>48</v>
      </c>
      <c r="H59" s="9">
        <v>4.7222222222222223E-3</v>
      </c>
    </row>
    <row r="60" spans="1:8" ht="15.75" customHeight="1" x14ac:dyDescent="0.25">
      <c r="A60" s="86"/>
      <c r="B60" s="87"/>
      <c r="C60" s="86"/>
      <c r="D60" s="87"/>
      <c r="E60" s="15" t="s">
        <v>49</v>
      </c>
      <c r="F60" s="16" t="s">
        <v>50</v>
      </c>
      <c r="G60" s="17"/>
      <c r="H60" s="1"/>
    </row>
    <row r="61" spans="1:8" ht="27.5" customHeight="1" x14ac:dyDescent="0.3">
      <c r="A61" s="76" t="s">
        <v>273</v>
      </c>
      <c r="B61" s="29">
        <v>1</v>
      </c>
      <c r="C61" s="94" t="s">
        <v>294</v>
      </c>
      <c r="D61" s="80"/>
      <c r="E61" s="66" t="s">
        <v>276</v>
      </c>
      <c r="F61" s="75">
        <v>4.7222222222222223E-3</v>
      </c>
      <c r="G61" s="18"/>
      <c r="H61" s="1"/>
    </row>
    <row r="62" spans="1:8" ht="15.75" customHeight="1" x14ac:dyDescent="0.3">
      <c r="A62" s="95" t="s">
        <v>281</v>
      </c>
      <c r="B62" s="80"/>
      <c r="C62" s="88"/>
      <c r="D62" s="80"/>
      <c r="E62" s="79" t="s">
        <v>43</v>
      </c>
      <c r="F62" s="80"/>
      <c r="G62" s="62" t="s">
        <v>44</v>
      </c>
      <c r="H62" s="22" t="s">
        <v>56</v>
      </c>
    </row>
    <row r="63" spans="1:8" ht="15.75" customHeight="1" x14ac:dyDescent="0.25">
      <c r="A63" s="84" t="s">
        <v>45</v>
      </c>
      <c r="B63" s="85"/>
      <c r="C63" s="89" t="s">
        <v>46</v>
      </c>
      <c r="D63" s="85"/>
      <c r="E63" s="81" t="s">
        <v>47</v>
      </c>
      <c r="F63" s="82"/>
      <c r="G63" s="63" t="s">
        <v>48</v>
      </c>
      <c r="H63" s="9">
        <v>4.3055555555555555E-3</v>
      </c>
    </row>
    <row r="64" spans="1:8" ht="15.75" customHeight="1" x14ac:dyDescent="0.25">
      <c r="A64" s="86"/>
      <c r="B64" s="87"/>
      <c r="C64" s="86"/>
      <c r="D64" s="87"/>
      <c r="E64" s="15" t="s">
        <v>49</v>
      </c>
      <c r="F64" s="16" t="s">
        <v>50</v>
      </c>
      <c r="G64" s="17"/>
      <c r="H64" s="1"/>
    </row>
    <row r="65" spans="1:8" ht="32.5" customHeight="1" x14ac:dyDescent="0.3">
      <c r="A65" s="76" t="s">
        <v>284</v>
      </c>
      <c r="B65" s="29">
        <v>1</v>
      </c>
      <c r="C65" s="94" t="s">
        <v>295</v>
      </c>
      <c r="D65" s="80"/>
      <c r="E65" s="66" t="s">
        <v>287</v>
      </c>
      <c r="F65" s="75">
        <v>4.3055555555555555E-3</v>
      </c>
      <c r="G65" s="18"/>
      <c r="H65" s="1"/>
    </row>
    <row r="66" spans="1:8" ht="15.75" customHeight="1" x14ac:dyDescent="0.3">
      <c r="A66" s="95" t="s">
        <v>282</v>
      </c>
      <c r="B66" s="80"/>
      <c r="C66" s="88"/>
      <c r="D66" s="80"/>
      <c r="E66" s="79" t="s">
        <v>43</v>
      </c>
      <c r="F66" s="80"/>
      <c r="G66" s="62" t="s">
        <v>44</v>
      </c>
      <c r="H66" s="22" t="s">
        <v>56</v>
      </c>
    </row>
    <row r="67" spans="1:8" ht="15.75" customHeight="1" x14ac:dyDescent="0.25">
      <c r="A67" s="84" t="s">
        <v>45</v>
      </c>
      <c r="B67" s="85"/>
      <c r="C67" s="89" t="s">
        <v>46</v>
      </c>
      <c r="D67" s="85"/>
      <c r="E67" s="81" t="s">
        <v>47</v>
      </c>
      <c r="F67" s="82"/>
      <c r="G67" s="63" t="s">
        <v>48</v>
      </c>
      <c r="H67" s="9">
        <v>6.3541666666666668E-3</v>
      </c>
    </row>
    <row r="68" spans="1:8" ht="15.75" customHeight="1" x14ac:dyDescent="0.25">
      <c r="A68" s="86"/>
      <c r="B68" s="87"/>
      <c r="C68" s="86"/>
      <c r="D68" s="87"/>
      <c r="E68" s="15" t="s">
        <v>49</v>
      </c>
      <c r="F68" s="16" t="s">
        <v>50</v>
      </c>
      <c r="G68" s="17"/>
      <c r="H68" s="1"/>
    </row>
    <row r="69" spans="1:8" ht="15.75" customHeight="1" x14ac:dyDescent="0.3">
      <c r="A69" s="76" t="s">
        <v>285</v>
      </c>
      <c r="B69" s="29">
        <v>1</v>
      </c>
      <c r="C69" s="96" t="s">
        <v>304</v>
      </c>
      <c r="D69" s="80"/>
      <c r="E69" s="66" t="s">
        <v>288</v>
      </c>
      <c r="F69" s="75">
        <v>6.3541666666666668E-3</v>
      </c>
      <c r="G69" s="18"/>
      <c r="H69" s="1"/>
    </row>
    <row r="70" spans="1:8" ht="15.75" customHeight="1" x14ac:dyDescent="0.3">
      <c r="A70" s="95" t="s">
        <v>283</v>
      </c>
      <c r="B70" s="80"/>
      <c r="C70" s="88"/>
      <c r="D70" s="80"/>
      <c r="E70" s="79" t="s">
        <v>43</v>
      </c>
      <c r="F70" s="80"/>
      <c r="G70" s="62" t="s">
        <v>44</v>
      </c>
      <c r="H70" s="22" t="s">
        <v>56</v>
      </c>
    </row>
    <row r="71" spans="1:8" ht="15.75" customHeight="1" x14ac:dyDescent="0.25">
      <c r="A71" s="84" t="s">
        <v>45</v>
      </c>
      <c r="B71" s="85"/>
      <c r="C71" s="89" t="s">
        <v>46</v>
      </c>
      <c r="D71" s="85"/>
      <c r="E71" s="81" t="s">
        <v>47</v>
      </c>
      <c r="F71" s="82"/>
      <c r="G71" s="63" t="s">
        <v>48</v>
      </c>
      <c r="H71" s="9">
        <v>8.6458333333333335E-3</v>
      </c>
    </row>
    <row r="72" spans="1:8" ht="15.75" customHeight="1" x14ac:dyDescent="0.25">
      <c r="A72" s="86"/>
      <c r="B72" s="87"/>
      <c r="C72" s="86"/>
      <c r="D72" s="87"/>
      <c r="E72" s="15" t="s">
        <v>49</v>
      </c>
      <c r="F72" s="16" t="s">
        <v>50</v>
      </c>
      <c r="G72" s="17"/>
      <c r="H72" s="1"/>
    </row>
    <row r="73" spans="1:8" ht="33" customHeight="1" x14ac:dyDescent="0.3">
      <c r="A73" s="76" t="s">
        <v>286</v>
      </c>
      <c r="B73" s="29">
        <v>1</v>
      </c>
      <c r="C73" s="94" t="s">
        <v>305</v>
      </c>
      <c r="D73" s="80"/>
      <c r="E73" s="66" t="s">
        <v>289</v>
      </c>
      <c r="F73" s="75">
        <v>8.6458333333333335E-3</v>
      </c>
      <c r="G73" s="18"/>
      <c r="H73" s="1"/>
    </row>
    <row r="74" spans="1:8" ht="15.75" customHeight="1" x14ac:dyDescent="0.3">
      <c r="A74" s="95" t="s">
        <v>302</v>
      </c>
      <c r="B74" s="80"/>
      <c r="C74" s="88"/>
      <c r="D74" s="80"/>
      <c r="E74" s="79" t="s">
        <v>43</v>
      </c>
      <c r="F74" s="80"/>
      <c r="G74" s="62" t="s">
        <v>44</v>
      </c>
      <c r="H74" s="22" t="s">
        <v>56</v>
      </c>
    </row>
    <row r="75" spans="1:8" ht="15.75" customHeight="1" x14ac:dyDescent="0.25">
      <c r="A75" s="84" t="s">
        <v>45</v>
      </c>
      <c r="B75" s="85"/>
      <c r="C75" s="89" t="s">
        <v>46</v>
      </c>
      <c r="D75" s="85"/>
      <c r="E75" s="81" t="s">
        <v>63</v>
      </c>
      <c r="F75" s="82"/>
      <c r="G75" s="63" t="s">
        <v>296</v>
      </c>
      <c r="H75" s="9">
        <v>1.0046296296296296E-2</v>
      </c>
    </row>
    <row r="76" spans="1:8" ht="15.75" customHeight="1" x14ac:dyDescent="0.25">
      <c r="A76" s="86"/>
      <c r="B76" s="87"/>
      <c r="C76" s="86"/>
      <c r="D76" s="87"/>
      <c r="E76" s="15" t="s">
        <v>49</v>
      </c>
      <c r="F76" s="16" t="s">
        <v>50</v>
      </c>
      <c r="G76" s="17"/>
      <c r="H76" s="1"/>
    </row>
    <row r="77" spans="1:8" ht="32.5" customHeight="1" x14ac:dyDescent="0.3">
      <c r="A77" s="76" t="s">
        <v>297</v>
      </c>
      <c r="B77" s="29">
        <v>1</v>
      </c>
      <c r="C77" s="94" t="s">
        <v>306</v>
      </c>
      <c r="D77" s="80"/>
      <c r="E77" s="66" t="s">
        <v>298</v>
      </c>
      <c r="F77" s="75">
        <v>1.0046296296296296E-2</v>
      </c>
      <c r="G77" s="18"/>
      <c r="H77" s="1"/>
    </row>
    <row r="78" spans="1:8" ht="15.75" customHeight="1" x14ac:dyDescent="0.3">
      <c r="A78" s="95" t="s">
        <v>303</v>
      </c>
      <c r="B78" s="80"/>
      <c r="C78" s="88"/>
      <c r="D78" s="80"/>
      <c r="E78" s="79" t="s">
        <v>43</v>
      </c>
      <c r="F78" s="80"/>
      <c r="G78" s="62" t="s">
        <v>44</v>
      </c>
      <c r="H78" s="22" t="s">
        <v>56</v>
      </c>
    </row>
    <row r="79" spans="1:8" ht="15.75" customHeight="1" x14ac:dyDescent="0.25">
      <c r="A79" s="84" t="s">
        <v>45</v>
      </c>
      <c r="B79" s="85"/>
      <c r="C79" s="89" t="s">
        <v>46</v>
      </c>
      <c r="D79" s="85"/>
      <c r="E79" s="81" t="s">
        <v>57</v>
      </c>
      <c r="F79" s="82"/>
      <c r="G79" s="63" t="s">
        <v>299</v>
      </c>
      <c r="H79" s="9">
        <v>1.136574074074074E-2</v>
      </c>
    </row>
    <row r="80" spans="1:8" ht="15.75" customHeight="1" x14ac:dyDescent="0.25">
      <c r="A80" s="86"/>
      <c r="B80" s="87"/>
      <c r="C80" s="86"/>
      <c r="D80" s="87"/>
      <c r="E80" s="15" t="s">
        <v>49</v>
      </c>
      <c r="F80" s="16" t="s">
        <v>50</v>
      </c>
      <c r="G80" s="17"/>
      <c r="H80" s="1"/>
    </row>
    <row r="81" spans="1:8" ht="28.5" customHeight="1" x14ac:dyDescent="0.3">
      <c r="A81" s="76" t="s">
        <v>300</v>
      </c>
      <c r="B81" s="29">
        <v>1</v>
      </c>
      <c r="C81" s="94" t="s">
        <v>307</v>
      </c>
      <c r="D81" s="80"/>
      <c r="E81" s="66" t="s">
        <v>301</v>
      </c>
      <c r="F81" s="75">
        <v>1.136574074074074E-2</v>
      </c>
      <c r="G81" s="18"/>
      <c r="H81" s="1"/>
    </row>
  </sheetData>
  <mergeCells count="120">
    <mergeCell ref="E43:F43"/>
    <mergeCell ref="C45:D45"/>
    <mergeCell ref="E33:F33"/>
    <mergeCell ref="E18:F18"/>
    <mergeCell ref="C18:D19"/>
    <mergeCell ref="A27:B27"/>
    <mergeCell ref="A23:B24"/>
    <mergeCell ref="C42:D42"/>
    <mergeCell ref="C17:D17"/>
    <mergeCell ref="E42:F42"/>
    <mergeCell ref="C33:D34"/>
    <mergeCell ref="C35:D35"/>
    <mergeCell ref="C38:D39"/>
    <mergeCell ref="E37:F37"/>
    <mergeCell ref="A22:B22"/>
    <mergeCell ref="A17:B17"/>
    <mergeCell ref="A18:B19"/>
    <mergeCell ref="E38:F38"/>
    <mergeCell ref="E32:F32"/>
    <mergeCell ref="E22:F22"/>
    <mergeCell ref="E11:F11"/>
    <mergeCell ref="E17:F17"/>
    <mergeCell ref="E28:F28"/>
    <mergeCell ref="C27:D27"/>
    <mergeCell ref="E27:F27"/>
    <mergeCell ref="C23:D24"/>
    <mergeCell ref="C22:D22"/>
    <mergeCell ref="C15:D15"/>
    <mergeCell ref="E6:F6"/>
    <mergeCell ref="E7:F7"/>
    <mergeCell ref="A7:B8"/>
    <mergeCell ref="C14:D14"/>
    <mergeCell ref="A6:B6"/>
    <mergeCell ref="C12:D13"/>
    <mergeCell ref="C7:D8"/>
    <mergeCell ref="C9:D9"/>
    <mergeCell ref="C6:D6"/>
    <mergeCell ref="E12:F12"/>
    <mergeCell ref="A12:B13"/>
    <mergeCell ref="A46:B46"/>
    <mergeCell ref="C46:D46"/>
    <mergeCell ref="E46:F46"/>
    <mergeCell ref="A47:B48"/>
    <mergeCell ref="C47:D48"/>
    <mergeCell ref="E47:F47"/>
    <mergeCell ref="A43:B44"/>
    <mergeCell ref="A38:B39"/>
    <mergeCell ref="A11:B11"/>
    <mergeCell ref="C25:D25"/>
    <mergeCell ref="C28:D29"/>
    <mergeCell ref="C11:D11"/>
    <mergeCell ref="A37:B37"/>
    <mergeCell ref="C37:D37"/>
    <mergeCell ref="A42:B42"/>
    <mergeCell ref="C40:D40"/>
    <mergeCell ref="C30:D30"/>
    <mergeCell ref="C43:D44"/>
    <mergeCell ref="C20:D20"/>
    <mergeCell ref="A33:B34"/>
    <mergeCell ref="A32:B32"/>
    <mergeCell ref="A28:B29"/>
    <mergeCell ref="E23:F23"/>
    <mergeCell ref="C32:D32"/>
    <mergeCell ref="C53:D53"/>
    <mergeCell ref="A54:B54"/>
    <mergeCell ref="C54:D54"/>
    <mergeCell ref="E54:F54"/>
    <mergeCell ref="A55:B56"/>
    <mergeCell ref="C55:D56"/>
    <mergeCell ref="E55:F55"/>
    <mergeCell ref="C49:D49"/>
    <mergeCell ref="A50:B50"/>
    <mergeCell ref="C50:D50"/>
    <mergeCell ref="E50:F50"/>
    <mergeCell ref="A51:B52"/>
    <mergeCell ref="C51:D52"/>
    <mergeCell ref="E51:F51"/>
    <mergeCell ref="C61:D61"/>
    <mergeCell ref="A62:B62"/>
    <mergeCell ref="C62:D62"/>
    <mergeCell ref="E62:F62"/>
    <mergeCell ref="A63:B64"/>
    <mergeCell ref="C63:D64"/>
    <mergeCell ref="E63:F63"/>
    <mergeCell ref="C57:D57"/>
    <mergeCell ref="A58:B58"/>
    <mergeCell ref="C58:D58"/>
    <mergeCell ref="E58:F58"/>
    <mergeCell ref="A59:B60"/>
    <mergeCell ref="C59:D60"/>
    <mergeCell ref="E59:F59"/>
    <mergeCell ref="C69:D69"/>
    <mergeCell ref="A70:B70"/>
    <mergeCell ref="C70:D70"/>
    <mergeCell ref="E70:F70"/>
    <mergeCell ref="A71:B72"/>
    <mergeCell ref="C71:D72"/>
    <mergeCell ref="E71:F71"/>
    <mergeCell ref="C65:D65"/>
    <mergeCell ref="A66:B66"/>
    <mergeCell ref="C66:D66"/>
    <mergeCell ref="E66:F66"/>
    <mergeCell ref="A67:B68"/>
    <mergeCell ref="C67:D68"/>
    <mergeCell ref="E67:F67"/>
    <mergeCell ref="C81:D81"/>
    <mergeCell ref="C77:D77"/>
    <mergeCell ref="A78:B78"/>
    <mergeCell ref="C78:D78"/>
    <mergeCell ref="E78:F78"/>
    <mergeCell ref="A79:B80"/>
    <mergeCell ref="C79:D80"/>
    <mergeCell ref="E79:F79"/>
    <mergeCell ref="C73:D73"/>
    <mergeCell ref="A74:B74"/>
    <mergeCell ref="C74:D74"/>
    <mergeCell ref="E74:F74"/>
    <mergeCell ref="A75:B76"/>
    <mergeCell ref="C75:D76"/>
    <mergeCell ref="E75:F75"/>
  </mergeCells>
  <phoneticPr fontId="1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1" topLeftCell="A2" activePane="bottomLeft" state="frozen"/>
      <selection pane="bottomLeft" activeCell="F3" sqref="F3"/>
    </sheetView>
  </sheetViews>
  <sheetFormatPr defaultRowHeight="12.5" x14ac:dyDescent="0.25"/>
  <cols>
    <col min="1" max="1" width="6" customWidth="1"/>
    <col min="2" max="2" width="48" customWidth="1"/>
    <col min="3" max="6" width="32" customWidth="1"/>
    <col min="7" max="7" width="8" customWidth="1"/>
    <col min="8" max="8" width="42" customWidth="1"/>
  </cols>
  <sheetData>
    <row r="1" spans="1:8" ht="28" customHeight="1" x14ac:dyDescent="0.25">
      <c r="A1" s="47" t="s">
        <v>105</v>
      </c>
      <c r="B1" s="47" t="s">
        <v>106</v>
      </c>
      <c r="C1" s="47" t="s">
        <v>107</v>
      </c>
      <c r="D1" s="47" t="s">
        <v>108</v>
      </c>
      <c r="E1" s="47" t="s">
        <v>109</v>
      </c>
      <c r="F1" s="47" t="s">
        <v>110</v>
      </c>
      <c r="G1" s="47" t="s">
        <v>111</v>
      </c>
      <c r="H1" s="47" t="s">
        <v>112</v>
      </c>
    </row>
    <row r="2" spans="1:8" ht="52" customHeight="1" x14ac:dyDescent="0.25">
      <c r="A2" s="48">
        <v>1</v>
      </c>
      <c r="B2" s="49" t="s">
        <v>113</v>
      </c>
      <c r="C2" s="50" t="s">
        <v>114</v>
      </c>
      <c r="D2" s="50" t="s">
        <v>115</v>
      </c>
      <c r="E2" s="50" t="s">
        <v>116</v>
      </c>
      <c r="F2" s="50" t="s">
        <v>117</v>
      </c>
      <c r="G2" s="51" t="s">
        <v>118</v>
      </c>
      <c r="H2" s="52" t="s">
        <v>119</v>
      </c>
    </row>
    <row r="3" spans="1:8" ht="52" customHeight="1" x14ac:dyDescent="0.25">
      <c r="A3" s="53">
        <v>2</v>
      </c>
      <c r="B3" s="54" t="s">
        <v>120</v>
      </c>
      <c r="C3" s="55" t="s">
        <v>121</v>
      </c>
      <c r="D3" s="55" t="s">
        <v>122</v>
      </c>
      <c r="E3" s="55" t="s">
        <v>123</v>
      </c>
      <c r="F3" s="55" t="s">
        <v>124</v>
      </c>
      <c r="G3" s="56" t="s">
        <v>125</v>
      </c>
      <c r="H3" s="57" t="s">
        <v>126</v>
      </c>
    </row>
    <row r="4" spans="1:8" ht="52" customHeight="1" x14ac:dyDescent="0.25">
      <c r="A4" s="48">
        <v>3</v>
      </c>
      <c r="B4" s="49" t="s">
        <v>127</v>
      </c>
      <c r="C4" s="50" t="s">
        <v>128</v>
      </c>
      <c r="D4" s="50" t="s">
        <v>129</v>
      </c>
      <c r="E4" s="50" t="s">
        <v>130</v>
      </c>
      <c r="F4" s="50" t="s">
        <v>131</v>
      </c>
      <c r="G4" s="51" t="s">
        <v>132</v>
      </c>
      <c r="H4" s="52" t="s">
        <v>133</v>
      </c>
    </row>
    <row r="5" spans="1:8" ht="52" customHeight="1" x14ac:dyDescent="0.25">
      <c r="A5" s="53">
        <v>4</v>
      </c>
      <c r="B5" s="54" t="s">
        <v>134</v>
      </c>
      <c r="C5" s="55" t="s">
        <v>135</v>
      </c>
      <c r="D5" s="55" t="s">
        <v>136</v>
      </c>
      <c r="E5" s="55" t="s">
        <v>137</v>
      </c>
      <c r="F5" s="55" t="s">
        <v>138</v>
      </c>
      <c r="G5" s="56" t="s">
        <v>125</v>
      </c>
      <c r="H5" s="57" t="s">
        <v>139</v>
      </c>
    </row>
    <row r="6" spans="1:8" ht="52" customHeight="1" x14ac:dyDescent="0.25">
      <c r="A6" s="48">
        <v>5</v>
      </c>
      <c r="B6" s="49" t="s">
        <v>140</v>
      </c>
      <c r="C6" s="50" t="s">
        <v>141</v>
      </c>
      <c r="D6" s="50" t="s">
        <v>142</v>
      </c>
      <c r="E6" s="50" t="s">
        <v>143</v>
      </c>
      <c r="F6" s="50" t="s">
        <v>144</v>
      </c>
      <c r="G6" s="51" t="s">
        <v>125</v>
      </c>
      <c r="H6" s="52" t="s">
        <v>145</v>
      </c>
    </row>
    <row r="7" spans="1:8" ht="52" customHeight="1" x14ac:dyDescent="0.25">
      <c r="A7" s="53">
        <v>6</v>
      </c>
      <c r="B7" s="54" t="s">
        <v>146</v>
      </c>
      <c r="C7" s="55" t="s">
        <v>147</v>
      </c>
      <c r="D7" s="55" t="s">
        <v>148</v>
      </c>
      <c r="E7" s="55" t="s">
        <v>149</v>
      </c>
      <c r="F7" s="55" t="s">
        <v>150</v>
      </c>
      <c r="G7" s="56" t="s">
        <v>118</v>
      </c>
      <c r="H7" s="57" t="s">
        <v>151</v>
      </c>
    </row>
    <row r="8" spans="1:8" ht="52" customHeight="1" x14ac:dyDescent="0.25">
      <c r="A8" s="48">
        <v>7</v>
      </c>
      <c r="B8" s="49" t="s">
        <v>152</v>
      </c>
      <c r="C8" s="50" t="s">
        <v>153</v>
      </c>
      <c r="D8" s="50" t="s">
        <v>154</v>
      </c>
      <c r="E8" s="50" t="s">
        <v>155</v>
      </c>
      <c r="F8" s="50" t="s">
        <v>156</v>
      </c>
      <c r="G8" s="51" t="s">
        <v>118</v>
      </c>
      <c r="H8" s="52" t="s">
        <v>157</v>
      </c>
    </row>
    <row r="9" spans="1:8" ht="52" customHeight="1" x14ac:dyDescent="0.25">
      <c r="A9" s="53">
        <v>8</v>
      </c>
      <c r="B9" s="54" t="s">
        <v>158</v>
      </c>
      <c r="C9" s="55" t="s">
        <v>159</v>
      </c>
      <c r="D9" s="55" t="s">
        <v>160</v>
      </c>
      <c r="E9" s="55" t="s">
        <v>161</v>
      </c>
      <c r="F9" s="55" t="s">
        <v>162</v>
      </c>
      <c r="G9" s="56" t="s">
        <v>118</v>
      </c>
      <c r="H9" s="57" t="s">
        <v>163</v>
      </c>
    </row>
    <row r="10" spans="1:8" ht="52" customHeight="1" x14ac:dyDescent="0.25">
      <c r="A10" s="48">
        <v>9</v>
      </c>
      <c r="B10" s="49" t="s">
        <v>164</v>
      </c>
      <c r="C10" s="50" t="s">
        <v>165</v>
      </c>
      <c r="D10" s="50" t="s">
        <v>166</v>
      </c>
      <c r="E10" s="50" t="s">
        <v>167</v>
      </c>
      <c r="F10" s="50" t="s">
        <v>168</v>
      </c>
      <c r="G10" s="51" t="s">
        <v>125</v>
      </c>
      <c r="H10" s="52" t="s">
        <v>169</v>
      </c>
    </row>
    <row r="11" spans="1:8" ht="52" customHeight="1" x14ac:dyDescent="0.25">
      <c r="A11" s="53">
        <v>10</v>
      </c>
      <c r="B11" s="54" t="s">
        <v>170</v>
      </c>
      <c r="C11" s="55" t="s">
        <v>171</v>
      </c>
      <c r="D11" s="55" t="s">
        <v>172</v>
      </c>
      <c r="E11" s="55" t="s">
        <v>173</v>
      </c>
      <c r="F11" s="55" t="s">
        <v>174</v>
      </c>
      <c r="G11" s="56" t="s">
        <v>125</v>
      </c>
      <c r="H11" s="57" t="s">
        <v>175</v>
      </c>
    </row>
    <row r="12" spans="1:8" ht="52" customHeight="1" x14ac:dyDescent="0.25">
      <c r="A12" s="48">
        <v>11</v>
      </c>
      <c r="B12" s="49" t="s">
        <v>176</v>
      </c>
      <c r="C12" s="50" t="s">
        <v>177</v>
      </c>
      <c r="D12" s="50" t="s">
        <v>178</v>
      </c>
      <c r="E12" s="50" t="s">
        <v>179</v>
      </c>
      <c r="F12" s="50" t="s">
        <v>180</v>
      </c>
      <c r="G12" s="51" t="s">
        <v>125</v>
      </c>
      <c r="H12" s="52" t="s">
        <v>181</v>
      </c>
    </row>
    <row r="13" spans="1:8" ht="52" customHeight="1" x14ac:dyDescent="0.25">
      <c r="A13" s="53">
        <v>12</v>
      </c>
      <c r="B13" s="54" t="s">
        <v>182</v>
      </c>
      <c r="C13" s="55" t="s">
        <v>183</v>
      </c>
      <c r="D13" s="55" t="s">
        <v>184</v>
      </c>
      <c r="E13" s="55" t="s">
        <v>185</v>
      </c>
      <c r="F13" s="55" t="s">
        <v>186</v>
      </c>
      <c r="G13" s="56" t="s">
        <v>118</v>
      </c>
      <c r="H13" s="57" t="s">
        <v>187</v>
      </c>
    </row>
    <row r="14" spans="1:8" ht="52" customHeight="1" x14ac:dyDescent="0.25">
      <c r="A14" s="48">
        <v>13</v>
      </c>
      <c r="B14" s="49" t="s">
        <v>188</v>
      </c>
      <c r="C14" s="50" t="s">
        <v>189</v>
      </c>
      <c r="D14" s="50" t="s">
        <v>190</v>
      </c>
      <c r="E14" s="50" t="s">
        <v>191</v>
      </c>
      <c r="F14" s="50" t="s">
        <v>192</v>
      </c>
      <c r="G14" s="51" t="s">
        <v>125</v>
      </c>
      <c r="H14" s="52" t="s">
        <v>193</v>
      </c>
    </row>
    <row r="15" spans="1:8" ht="52" customHeight="1" x14ac:dyDescent="0.25">
      <c r="A15" s="53">
        <v>14</v>
      </c>
      <c r="B15" s="54" t="s">
        <v>194</v>
      </c>
      <c r="C15" s="55" t="s">
        <v>195</v>
      </c>
      <c r="D15" s="55" t="s">
        <v>196</v>
      </c>
      <c r="E15" s="55" t="s">
        <v>197</v>
      </c>
      <c r="F15" s="55" t="s">
        <v>198</v>
      </c>
      <c r="G15" s="56" t="s">
        <v>118</v>
      </c>
      <c r="H15" s="57" t="s">
        <v>199</v>
      </c>
    </row>
    <row r="16" spans="1:8" ht="52" customHeight="1" x14ac:dyDescent="0.25">
      <c r="A16" s="48">
        <v>15</v>
      </c>
      <c r="B16" s="49" t="s">
        <v>200</v>
      </c>
      <c r="C16" s="50" t="s">
        <v>201</v>
      </c>
      <c r="D16" s="50" t="s">
        <v>202</v>
      </c>
      <c r="E16" s="50" t="s">
        <v>203</v>
      </c>
      <c r="F16" s="50" t="s">
        <v>204</v>
      </c>
      <c r="G16" s="51" t="s">
        <v>132</v>
      </c>
      <c r="H16" s="52" t="s">
        <v>205</v>
      </c>
    </row>
  </sheetData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>
      <selection activeCell="B6" sqref="B6"/>
    </sheetView>
  </sheetViews>
  <sheetFormatPr defaultColWidth="12.6328125" defaultRowHeight="15.75" customHeight="1" x14ac:dyDescent="0.25"/>
  <cols>
    <col min="2" max="2" width="89.08984375" customWidth="1"/>
    <col min="3" max="3" width="44.08984375" customWidth="1"/>
  </cols>
  <sheetData>
    <row r="1" spans="1:26" ht="32.5" customHeight="1" x14ac:dyDescent="0.25">
      <c r="A1" s="35"/>
      <c r="B1" s="36" t="s">
        <v>206</v>
      </c>
      <c r="C1" s="35"/>
      <c r="D1" s="35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37" t="s">
        <v>207</v>
      </c>
      <c r="B2" s="60" t="s">
        <v>244</v>
      </c>
      <c r="C2" s="39" t="s">
        <v>208</v>
      </c>
      <c r="D2" s="40" t="s">
        <v>209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56.5" customHeight="1" x14ac:dyDescent="0.25">
      <c r="A3" s="37" t="s">
        <v>210</v>
      </c>
      <c r="B3" s="61" t="s">
        <v>211</v>
      </c>
      <c r="C3" s="41"/>
      <c r="D3" s="3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9.5" customHeight="1" x14ac:dyDescent="0.25">
      <c r="A4" s="37" t="s">
        <v>212</v>
      </c>
      <c r="B4" s="60" t="s">
        <v>245</v>
      </c>
      <c r="C4" s="41"/>
      <c r="D4" s="3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5" customHeight="1" x14ac:dyDescent="0.25">
      <c r="A5" s="37" t="s">
        <v>213</v>
      </c>
      <c r="B5" s="61" t="s">
        <v>214</v>
      </c>
      <c r="C5" s="41"/>
      <c r="D5" s="3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5" customHeight="1" x14ac:dyDescent="0.25">
      <c r="A6" s="37" t="s">
        <v>215</v>
      </c>
      <c r="B6" s="61" t="s">
        <v>216</v>
      </c>
      <c r="C6" s="39" t="s">
        <v>217</v>
      </c>
      <c r="D6" s="35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 x14ac:dyDescent="0.25">
      <c r="A7" s="37" t="s">
        <v>218</v>
      </c>
      <c r="B7" s="38" t="s">
        <v>219</v>
      </c>
      <c r="C7" s="41"/>
      <c r="D7" s="3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9.5" customHeight="1" x14ac:dyDescent="0.25">
      <c r="A8" s="37" t="s">
        <v>220</v>
      </c>
      <c r="B8" s="61" t="s">
        <v>221</v>
      </c>
      <c r="C8" s="39" t="s">
        <v>222</v>
      </c>
      <c r="D8" s="40" t="s">
        <v>223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4" customHeight="1" x14ac:dyDescent="0.25">
      <c r="A9" s="37" t="s">
        <v>224</v>
      </c>
      <c r="B9" s="38" t="s">
        <v>219</v>
      </c>
      <c r="C9" s="39" t="s">
        <v>225</v>
      </c>
      <c r="D9" s="40" t="s">
        <v>226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2.5" customHeight="1" x14ac:dyDescent="0.25">
      <c r="A10" s="37" t="s">
        <v>227</v>
      </c>
      <c r="B10" s="38" t="s">
        <v>219</v>
      </c>
      <c r="C10" s="39" t="s">
        <v>228</v>
      </c>
      <c r="D10" s="35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1"/>
  <sheetViews>
    <sheetView workbookViewId="0">
      <selection activeCell="C11" sqref="C11"/>
    </sheetView>
  </sheetViews>
  <sheetFormatPr defaultColWidth="12.6328125" defaultRowHeight="15.75" customHeight="1" x14ac:dyDescent="0.25"/>
  <cols>
    <col min="1" max="1" width="7" customWidth="1"/>
    <col min="2" max="2" width="42.453125" customWidth="1"/>
    <col min="3" max="3" width="61.81640625" customWidth="1"/>
  </cols>
  <sheetData>
    <row r="1" spans="1:26" ht="36.75" customHeight="1" x14ac:dyDescent="0.25">
      <c r="A1" s="100" t="s">
        <v>229</v>
      </c>
      <c r="B1" s="101"/>
      <c r="C1" s="102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3" customHeight="1" x14ac:dyDescent="0.25">
      <c r="A2" s="42" t="s">
        <v>230</v>
      </c>
      <c r="B2" s="42" t="s">
        <v>231</v>
      </c>
      <c r="C2" s="42" t="s">
        <v>232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3" customHeight="1" x14ac:dyDescent="0.25">
      <c r="A3" s="43">
        <v>1</v>
      </c>
      <c r="B3" s="44" t="s">
        <v>233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37.5" customHeight="1" x14ac:dyDescent="0.25">
      <c r="A4" s="43">
        <v>2</v>
      </c>
      <c r="B4" s="44" t="s">
        <v>234</v>
      </c>
      <c r="C4" s="78" t="s">
        <v>309</v>
      </c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37.5" customHeight="1" x14ac:dyDescent="0.25">
      <c r="A5" s="43">
        <v>3</v>
      </c>
      <c r="B5" s="44" t="s">
        <v>235</v>
      </c>
      <c r="C5" s="78" t="s">
        <v>308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45" customHeight="1" x14ac:dyDescent="0.25">
      <c r="A6" s="43">
        <v>4</v>
      </c>
      <c r="B6" s="46" t="s">
        <v>236</v>
      </c>
      <c r="C6" s="77" t="s">
        <v>290</v>
      </c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3" customHeight="1" x14ac:dyDescent="0.25">
      <c r="A7" s="43">
        <v>8</v>
      </c>
      <c r="B7" s="44" t="s">
        <v>237</v>
      </c>
      <c r="C7" s="78" t="s">
        <v>312</v>
      </c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3" customHeight="1" x14ac:dyDescent="0.25">
      <c r="A8" s="43">
        <v>5</v>
      </c>
      <c r="B8" s="44" t="s">
        <v>238</v>
      </c>
      <c r="C8" s="78" t="s">
        <v>313</v>
      </c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26" customHeight="1" x14ac:dyDescent="0.25">
      <c r="A9" s="43">
        <v>6</v>
      </c>
      <c r="B9" s="44" t="s">
        <v>239</v>
      </c>
      <c r="C9" s="78" t="s">
        <v>311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3" customHeight="1" x14ac:dyDescent="0.25">
      <c r="A10" s="43">
        <v>7</v>
      </c>
      <c r="B10" s="44" t="s">
        <v>240</v>
      </c>
      <c r="C10" s="78" t="s">
        <v>310</v>
      </c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50" customHeight="1" x14ac:dyDescent="0.25">
      <c r="A11" s="43">
        <v>9</v>
      </c>
      <c r="B11" s="44" t="s">
        <v>241</v>
      </c>
      <c r="C11" s="45" t="s">
        <v>242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3" customHeight="1" x14ac:dyDescent="0.25">
      <c r="A12" s="43">
        <v>10</v>
      </c>
      <c r="B12" s="44" t="s">
        <v>243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2.5" customHeight="1" x14ac:dyDescent="0.25">
      <c r="A13" s="33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2.5" customHeight="1" x14ac:dyDescent="0.25">
      <c r="A14" s="33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2.5" customHeight="1" x14ac:dyDescent="0.25">
      <c r="A15" s="33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2.5" customHeight="1" x14ac:dyDescent="0.25">
      <c r="A16" s="33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2.5" customHeight="1" x14ac:dyDescent="0.25">
      <c r="A17" s="33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2.5" customHeight="1" x14ac:dyDescent="0.25">
      <c r="A18" s="33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2.5" customHeight="1" x14ac:dyDescent="0.25">
      <c r="A19" s="33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2.5" customHeight="1" x14ac:dyDescent="0.25">
      <c r="A20" s="33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2.5" customHeight="1" x14ac:dyDescent="0.25">
      <c r="A21" s="33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2.5" customHeight="1" x14ac:dyDescent="0.25">
      <c r="A22" s="33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2.5" customHeight="1" x14ac:dyDescent="0.25">
      <c r="A23" s="33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2.5" customHeight="1" x14ac:dyDescent="0.25">
      <c r="A24" s="33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2.5" customHeight="1" x14ac:dyDescent="0.25">
      <c r="A25" s="33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2.5" customHeight="1" x14ac:dyDescent="0.25">
      <c r="A26" s="33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2.5" customHeight="1" x14ac:dyDescent="0.25">
      <c r="A27" s="33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2.5" customHeight="1" x14ac:dyDescent="0.25">
      <c r="A28" s="33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2.5" customHeight="1" x14ac:dyDescent="0.25">
      <c r="A29" s="33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2.5" customHeight="1" x14ac:dyDescent="0.25">
      <c r="A30" s="33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2.5" customHeight="1" x14ac:dyDescent="0.25">
      <c r="A31" s="33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2.5" customHeight="1" x14ac:dyDescent="0.25">
      <c r="A32" s="33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2.5" customHeight="1" x14ac:dyDescent="0.25">
      <c r="A33" s="33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2.5" customHeight="1" x14ac:dyDescent="0.25">
      <c r="A34" s="33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2.5" customHeight="1" x14ac:dyDescent="0.25">
      <c r="A35" s="33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2.5" customHeight="1" x14ac:dyDescent="0.25">
      <c r="A36" s="33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2.5" customHeight="1" x14ac:dyDescent="0.25">
      <c r="A37" s="33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2.5" customHeight="1" x14ac:dyDescent="0.25">
      <c r="A38" s="33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2.5" customHeight="1" x14ac:dyDescent="0.25">
      <c r="A39" s="33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2.5" customHeight="1" x14ac:dyDescent="0.25">
      <c r="A40" s="33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2.5" customHeight="1" x14ac:dyDescent="0.25">
      <c r="A41" s="33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2.5" customHeight="1" x14ac:dyDescent="0.25">
      <c r="A42" s="33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2.5" customHeight="1" x14ac:dyDescent="0.25">
      <c r="A43" s="33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2.5" customHeight="1" x14ac:dyDescent="0.25">
      <c r="A44" s="33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2.5" customHeight="1" x14ac:dyDescent="0.25">
      <c r="A45" s="33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2.5" customHeight="1" x14ac:dyDescent="0.25">
      <c r="A46" s="33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2.5" customHeight="1" x14ac:dyDescent="0.25">
      <c r="A47" s="33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2.5" customHeight="1" x14ac:dyDescent="0.25">
      <c r="A48" s="33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2.5" customHeight="1" x14ac:dyDescent="0.25">
      <c r="A49" s="33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2.5" customHeight="1" x14ac:dyDescent="0.25">
      <c r="A50" s="33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2.5" customHeight="1" x14ac:dyDescent="0.25">
      <c r="A51" s="33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2.5" customHeight="1" x14ac:dyDescent="0.25">
      <c r="A52" s="33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2.5" customHeight="1" x14ac:dyDescent="0.25">
      <c r="A53" s="33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2.5" customHeight="1" x14ac:dyDescent="0.25">
      <c r="A54" s="33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2.5" customHeight="1" x14ac:dyDescent="0.25">
      <c r="A55" s="33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2.5" customHeight="1" x14ac:dyDescent="0.25">
      <c r="A56" s="33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2.5" customHeight="1" x14ac:dyDescent="0.25">
      <c r="A57" s="33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2.5" customHeight="1" x14ac:dyDescent="0.25">
      <c r="A58" s="33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2.5" customHeight="1" x14ac:dyDescent="0.25">
      <c r="A59" s="33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2.5" customHeight="1" x14ac:dyDescent="0.25">
      <c r="A60" s="33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2.5" customHeight="1" x14ac:dyDescent="0.25">
      <c r="A61" s="33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2.5" customHeight="1" x14ac:dyDescent="0.25">
      <c r="A62" s="33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2.5" customHeight="1" x14ac:dyDescent="0.25">
      <c r="A63" s="33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2.5" customHeight="1" x14ac:dyDescent="0.25">
      <c r="A64" s="33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2.5" customHeight="1" x14ac:dyDescent="0.25">
      <c r="A65" s="33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2.5" customHeight="1" x14ac:dyDescent="0.25">
      <c r="A66" s="33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2.5" customHeight="1" x14ac:dyDescent="0.25">
      <c r="A67" s="33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2.5" customHeight="1" x14ac:dyDescent="0.25">
      <c r="A68" s="33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2.5" customHeight="1" x14ac:dyDescent="0.25">
      <c r="A69" s="33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2.5" customHeight="1" x14ac:dyDescent="0.25">
      <c r="A70" s="33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2.5" customHeight="1" x14ac:dyDescent="0.25">
      <c r="A71" s="33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2.5" customHeight="1" x14ac:dyDescent="0.25">
      <c r="A72" s="33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2.5" customHeight="1" x14ac:dyDescent="0.25">
      <c r="A73" s="33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2.5" customHeight="1" x14ac:dyDescent="0.25">
      <c r="A74" s="33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2.5" customHeight="1" x14ac:dyDescent="0.25">
      <c r="A75" s="33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2.5" customHeight="1" x14ac:dyDescent="0.25">
      <c r="A76" s="33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2.5" customHeight="1" x14ac:dyDescent="0.25">
      <c r="A77" s="33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2.5" customHeight="1" x14ac:dyDescent="0.25">
      <c r="A78" s="33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2.5" customHeight="1" x14ac:dyDescent="0.25">
      <c r="A79" s="33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2.5" customHeight="1" x14ac:dyDescent="0.25">
      <c r="A80" s="33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2.5" customHeight="1" x14ac:dyDescent="0.25">
      <c r="A81" s="33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2.5" customHeight="1" x14ac:dyDescent="0.25">
      <c r="A82" s="33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2.5" customHeight="1" x14ac:dyDescent="0.25">
      <c r="A83" s="33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2.5" customHeight="1" x14ac:dyDescent="0.25">
      <c r="A84" s="33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2.5" customHeight="1" x14ac:dyDescent="0.25">
      <c r="A85" s="33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2.5" customHeight="1" x14ac:dyDescent="0.25">
      <c r="A86" s="33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2.5" customHeight="1" x14ac:dyDescent="0.25">
      <c r="A87" s="33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2.5" customHeight="1" x14ac:dyDescent="0.25">
      <c r="A88" s="33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2.5" customHeight="1" x14ac:dyDescent="0.25">
      <c r="A89" s="33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2.5" customHeight="1" x14ac:dyDescent="0.25">
      <c r="A90" s="33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2.5" customHeight="1" x14ac:dyDescent="0.25">
      <c r="A91" s="33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2.5" customHeight="1" x14ac:dyDescent="0.25">
      <c r="A92" s="33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2.5" customHeight="1" x14ac:dyDescent="0.25">
      <c r="A93" s="33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2.5" customHeight="1" x14ac:dyDescent="0.25">
      <c r="A94" s="33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2.5" customHeight="1" x14ac:dyDescent="0.25">
      <c r="A95" s="33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2.5" customHeight="1" x14ac:dyDescent="0.25">
      <c r="A96" s="33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2.5" customHeight="1" x14ac:dyDescent="0.25">
      <c r="A97" s="33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2.5" customHeight="1" x14ac:dyDescent="0.25">
      <c r="A98" s="33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2.5" customHeight="1" x14ac:dyDescent="0.25">
      <c r="A99" s="33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2.5" customHeight="1" x14ac:dyDescent="0.25">
      <c r="A100" s="33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2.5" customHeight="1" x14ac:dyDescent="0.25">
      <c r="A101" s="33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2.5" customHeight="1" x14ac:dyDescent="0.25">
      <c r="A102" s="33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2.5" customHeight="1" x14ac:dyDescent="0.25">
      <c r="A103" s="33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2.5" customHeight="1" x14ac:dyDescent="0.25">
      <c r="A104" s="33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2.5" customHeight="1" x14ac:dyDescent="0.25">
      <c r="A105" s="33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2.5" customHeight="1" x14ac:dyDescent="0.25">
      <c r="A106" s="33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2.5" customHeight="1" x14ac:dyDescent="0.25">
      <c r="A107" s="33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2.5" customHeight="1" x14ac:dyDescent="0.25">
      <c r="A108" s="33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2.5" customHeight="1" x14ac:dyDescent="0.25">
      <c r="A109" s="33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2.5" customHeight="1" x14ac:dyDescent="0.25">
      <c r="A110" s="33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2.5" customHeight="1" x14ac:dyDescent="0.25">
      <c r="A111" s="33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2.5" customHeight="1" x14ac:dyDescent="0.25">
      <c r="A112" s="33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2.5" customHeight="1" x14ac:dyDescent="0.25">
      <c r="A113" s="33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2.5" customHeight="1" x14ac:dyDescent="0.25">
      <c r="A114" s="33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2.5" customHeight="1" x14ac:dyDescent="0.25">
      <c r="A115" s="33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2.5" customHeight="1" x14ac:dyDescent="0.25">
      <c r="A116" s="33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2.5" customHeight="1" x14ac:dyDescent="0.25">
      <c r="A117" s="33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2.5" customHeight="1" x14ac:dyDescent="0.25">
      <c r="A118" s="33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2.5" customHeight="1" x14ac:dyDescent="0.25">
      <c r="A119" s="33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2.5" customHeight="1" x14ac:dyDescent="0.25">
      <c r="A120" s="33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2.5" customHeight="1" x14ac:dyDescent="0.25">
      <c r="A121" s="33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2.5" customHeight="1" x14ac:dyDescent="0.25">
      <c r="A122" s="33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2.5" customHeight="1" x14ac:dyDescent="0.25">
      <c r="A123" s="33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2.5" customHeight="1" x14ac:dyDescent="0.25">
      <c r="A124" s="33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2.5" customHeight="1" x14ac:dyDescent="0.25">
      <c r="A125" s="33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2.5" customHeight="1" x14ac:dyDescent="0.25">
      <c r="A126" s="33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2.5" customHeight="1" x14ac:dyDescent="0.25">
      <c r="A127" s="33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2.5" customHeight="1" x14ac:dyDescent="0.25">
      <c r="A128" s="33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2.5" customHeight="1" x14ac:dyDescent="0.25">
      <c r="A129" s="33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2.5" customHeight="1" x14ac:dyDescent="0.25">
      <c r="A130" s="33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2.5" customHeight="1" x14ac:dyDescent="0.25">
      <c r="A131" s="33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2.5" customHeight="1" x14ac:dyDescent="0.25">
      <c r="A132" s="33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2.5" customHeight="1" x14ac:dyDescent="0.25">
      <c r="A133" s="33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2.5" customHeight="1" x14ac:dyDescent="0.25">
      <c r="A134" s="33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2.5" customHeight="1" x14ac:dyDescent="0.25">
      <c r="A135" s="33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2.5" customHeight="1" x14ac:dyDescent="0.25">
      <c r="A136" s="33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2.5" customHeight="1" x14ac:dyDescent="0.25">
      <c r="A137" s="33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2.5" customHeight="1" x14ac:dyDescent="0.25">
      <c r="A138" s="33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2.5" customHeight="1" x14ac:dyDescent="0.25">
      <c r="A139" s="33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2.5" customHeight="1" x14ac:dyDescent="0.25">
      <c r="A140" s="33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2.5" customHeight="1" x14ac:dyDescent="0.25">
      <c r="A141" s="33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2.5" customHeight="1" x14ac:dyDescent="0.25">
      <c r="A142" s="33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2.5" customHeight="1" x14ac:dyDescent="0.25">
      <c r="A143" s="33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2.5" customHeight="1" x14ac:dyDescent="0.25">
      <c r="A144" s="33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2.5" customHeight="1" x14ac:dyDescent="0.25">
      <c r="A145" s="33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2.5" customHeight="1" x14ac:dyDescent="0.25">
      <c r="A146" s="33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2.5" customHeight="1" x14ac:dyDescent="0.25">
      <c r="A147" s="33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2.5" customHeight="1" x14ac:dyDescent="0.25">
      <c r="A148" s="33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2.5" customHeight="1" x14ac:dyDescent="0.25">
      <c r="A149" s="33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2.5" customHeight="1" x14ac:dyDescent="0.25">
      <c r="A150" s="33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2.5" customHeight="1" x14ac:dyDescent="0.25">
      <c r="A151" s="33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2.5" customHeight="1" x14ac:dyDescent="0.25">
      <c r="A152" s="33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2.5" customHeight="1" x14ac:dyDescent="0.25">
      <c r="A153" s="33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2.5" customHeight="1" x14ac:dyDescent="0.25">
      <c r="A154" s="33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2.5" customHeight="1" x14ac:dyDescent="0.25">
      <c r="A155" s="33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2.5" customHeight="1" x14ac:dyDescent="0.25">
      <c r="A156" s="33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2.5" customHeight="1" x14ac:dyDescent="0.25">
      <c r="A157" s="33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2.5" customHeight="1" x14ac:dyDescent="0.25">
      <c r="A158" s="33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2.5" customHeight="1" x14ac:dyDescent="0.25">
      <c r="A159" s="33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2.5" customHeight="1" x14ac:dyDescent="0.25">
      <c r="A160" s="33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2.5" customHeight="1" x14ac:dyDescent="0.25">
      <c r="A161" s="33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2.5" customHeight="1" x14ac:dyDescent="0.25">
      <c r="A162" s="33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2.5" customHeight="1" x14ac:dyDescent="0.25">
      <c r="A163" s="33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2.5" customHeight="1" x14ac:dyDescent="0.25">
      <c r="A164" s="33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2.5" customHeight="1" x14ac:dyDescent="0.25">
      <c r="A165" s="33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2.5" customHeight="1" x14ac:dyDescent="0.25">
      <c r="A166" s="33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2.5" customHeight="1" x14ac:dyDescent="0.25">
      <c r="A167" s="33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2.5" customHeight="1" x14ac:dyDescent="0.25">
      <c r="A168" s="33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2.5" customHeight="1" x14ac:dyDescent="0.25">
      <c r="A169" s="33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2.5" customHeight="1" x14ac:dyDescent="0.25">
      <c r="A170" s="33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2.5" customHeight="1" x14ac:dyDescent="0.25">
      <c r="A171" s="33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2.5" customHeight="1" x14ac:dyDescent="0.25">
      <c r="A172" s="33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2.5" customHeight="1" x14ac:dyDescent="0.25">
      <c r="A173" s="33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2.5" customHeight="1" x14ac:dyDescent="0.25">
      <c r="A174" s="33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2.5" customHeight="1" x14ac:dyDescent="0.25">
      <c r="A175" s="33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2.5" customHeight="1" x14ac:dyDescent="0.25">
      <c r="A176" s="33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2.5" customHeight="1" x14ac:dyDescent="0.25">
      <c r="A177" s="33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2.5" customHeight="1" x14ac:dyDescent="0.25">
      <c r="A178" s="33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2.5" customHeight="1" x14ac:dyDescent="0.25">
      <c r="A179" s="33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2.5" customHeight="1" x14ac:dyDescent="0.25">
      <c r="A180" s="33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2.5" customHeight="1" x14ac:dyDescent="0.25">
      <c r="A181" s="33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2.5" customHeight="1" x14ac:dyDescent="0.25">
      <c r="A182" s="33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2.5" customHeight="1" x14ac:dyDescent="0.25">
      <c r="A183" s="33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2.5" customHeight="1" x14ac:dyDescent="0.25">
      <c r="A184" s="33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2.5" customHeight="1" x14ac:dyDescent="0.25">
      <c r="A185" s="33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2.5" customHeight="1" x14ac:dyDescent="0.25">
      <c r="A186" s="33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2.5" customHeight="1" x14ac:dyDescent="0.25">
      <c r="A187" s="33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2.5" customHeight="1" x14ac:dyDescent="0.25">
      <c r="A188" s="33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2.5" customHeight="1" x14ac:dyDescent="0.25">
      <c r="A189" s="33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2.5" customHeight="1" x14ac:dyDescent="0.25">
      <c r="A190" s="33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2.5" customHeight="1" x14ac:dyDescent="0.25">
      <c r="A191" s="33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2.5" customHeight="1" x14ac:dyDescent="0.25">
      <c r="A192" s="33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2.5" customHeight="1" x14ac:dyDescent="0.25">
      <c r="A193" s="33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2.5" customHeight="1" x14ac:dyDescent="0.25">
      <c r="A194" s="33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2.5" customHeight="1" x14ac:dyDescent="0.25">
      <c r="A195" s="33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2.5" customHeight="1" x14ac:dyDescent="0.25">
      <c r="A196" s="33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2.5" customHeight="1" x14ac:dyDescent="0.25">
      <c r="A197" s="33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2.5" customHeight="1" x14ac:dyDescent="0.25">
      <c r="A198" s="33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2.5" customHeight="1" x14ac:dyDescent="0.25">
      <c r="A199" s="33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2.5" customHeight="1" x14ac:dyDescent="0.25">
      <c r="A200" s="33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2.5" customHeight="1" x14ac:dyDescent="0.25">
      <c r="A201" s="33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2.5" customHeight="1" x14ac:dyDescent="0.25">
      <c r="A202" s="33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2.5" customHeight="1" x14ac:dyDescent="0.25">
      <c r="A203" s="33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2.5" customHeight="1" x14ac:dyDescent="0.25">
      <c r="A204" s="33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2.5" customHeight="1" x14ac:dyDescent="0.25">
      <c r="A205" s="33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2.5" customHeight="1" x14ac:dyDescent="0.25">
      <c r="A206" s="33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2.5" customHeight="1" x14ac:dyDescent="0.25">
      <c r="A207" s="33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2.5" customHeight="1" x14ac:dyDescent="0.25">
      <c r="A208" s="33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2.5" customHeight="1" x14ac:dyDescent="0.25">
      <c r="A209" s="33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2.5" customHeight="1" x14ac:dyDescent="0.25">
      <c r="A210" s="33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2.5" customHeight="1" x14ac:dyDescent="0.25">
      <c r="A211" s="33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2.5" customHeight="1" x14ac:dyDescent="0.25">
      <c r="A212" s="33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2.5" customHeight="1" x14ac:dyDescent="0.25">
      <c r="A213" s="33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2.5" customHeight="1" x14ac:dyDescent="0.25">
      <c r="A214" s="33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2.5" customHeight="1" x14ac:dyDescent="0.25">
      <c r="A215" s="33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2.5" customHeight="1" x14ac:dyDescent="0.25">
      <c r="A216" s="33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2.5" customHeight="1" x14ac:dyDescent="0.25">
      <c r="A217" s="33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2.5" customHeight="1" x14ac:dyDescent="0.25">
      <c r="A218" s="33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2.5" customHeight="1" x14ac:dyDescent="0.25">
      <c r="A219" s="33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2.5" customHeight="1" x14ac:dyDescent="0.25">
      <c r="A220" s="33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2.5" customHeight="1" x14ac:dyDescent="0.25">
      <c r="A221" s="33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2.5" customHeight="1" x14ac:dyDescent="0.25">
      <c r="A222" s="33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2.5" customHeight="1" x14ac:dyDescent="0.25">
      <c r="A223" s="33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2.5" customHeight="1" x14ac:dyDescent="0.25">
      <c r="A224" s="33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2.5" customHeight="1" x14ac:dyDescent="0.25">
      <c r="A225" s="33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2.5" customHeight="1" x14ac:dyDescent="0.25">
      <c r="A226" s="33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2.5" customHeight="1" x14ac:dyDescent="0.25">
      <c r="A227" s="33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2.5" customHeight="1" x14ac:dyDescent="0.25">
      <c r="A228" s="33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2.5" customHeight="1" x14ac:dyDescent="0.25">
      <c r="A229" s="33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2.5" customHeight="1" x14ac:dyDescent="0.25">
      <c r="A230" s="33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2.5" customHeight="1" x14ac:dyDescent="0.25">
      <c r="A231" s="33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2.5" customHeight="1" x14ac:dyDescent="0.25">
      <c r="A232" s="33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2.5" customHeight="1" x14ac:dyDescent="0.25">
      <c r="A233" s="33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2.5" customHeight="1" x14ac:dyDescent="0.25">
      <c r="A234" s="33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2.5" customHeight="1" x14ac:dyDescent="0.25">
      <c r="A235" s="33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2.5" customHeight="1" x14ac:dyDescent="0.25">
      <c r="A236" s="33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2.5" customHeight="1" x14ac:dyDescent="0.25">
      <c r="A237" s="33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2.5" customHeight="1" x14ac:dyDescent="0.25">
      <c r="A238" s="33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2.5" customHeight="1" x14ac:dyDescent="0.25">
      <c r="A239" s="33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2.5" customHeight="1" x14ac:dyDescent="0.25">
      <c r="A240" s="33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2.5" customHeight="1" x14ac:dyDescent="0.25">
      <c r="A241" s="33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2.5" customHeight="1" x14ac:dyDescent="0.25">
      <c r="A242" s="33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2.5" customHeight="1" x14ac:dyDescent="0.25">
      <c r="A243" s="33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2.5" customHeight="1" x14ac:dyDescent="0.25">
      <c r="A244" s="33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2.5" customHeight="1" x14ac:dyDescent="0.25">
      <c r="A245" s="33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2.5" customHeight="1" x14ac:dyDescent="0.25">
      <c r="A246" s="33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2.5" customHeight="1" x14ac:dyDescent="0.25">
      <c r="A247" s="33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2.5" customHeight="1" x14ac:dyDescent="0.25">
      <c r="A248" s="33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2.5" customHeight="1" x14ac:dyDescent="0.25">
      <c r="A249" s="33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2.5" customHeight="1" x14ac:dyDescent="0.25">
      <c r="A250" s="33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2.5" customHeight="1" x14ac:dyDescent="0.25">
      <c r="A251" s="33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2.5" customHeight="1" x14ac:dyDescent="0.25">
      <c r="A252" s="33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2.5" customHeight="1" x14ac:dyDescent="0.25">
      <c r="A253" s="33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2.5" customHeight="1" x14ac:dyDescent="0.25">
      <c r="A254" s="33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2.5" customHeight="1" x14ac:dyDescent="0.25">
      <c r="A255" s="33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2.5" customHeight="1" x14ac:dyDescent="0.25">
      <c r="A256" s="33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2.5" customHeight="1" x14ac:dyDescent="0.25">
      <c r="A257" s="33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2.5" customHeight="1" x14ac:dyDescent="0.25">
      <c r="A258" s="33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2.5" customHeight="1" x14ac:dyDescent="0.25">
      <c r="A259" s="33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2.5" customHeight="1" x14ac:dyDescent="0.25">
      <c r="A260" s="33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2.5" customHeight="1" x14ac:dyDescent="0.25">
      <c r="A261" s="33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2.5" customHeight="1" x14ac:dyDescent="0.25">
      <c r="A262" s="33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2.5" customHeight="1" x14ac:dyDescent="0.25">
      <c r="A263" s="33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2.5" customHeight="1" x14ac:dyDescent="0.25">
      <c r="A264" s="33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2.5" customHeight="1" x14ac:dyDescent="0.25">
      <c r="A265" s="33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2.5" customHeight="1" x14ac:dyDescent="0.25">
      <c r="A266" s="33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2.5" customHeight="1" x14ac:dyDescent="0.25">
      <c r="A267" s="33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2.5" customHeight="1" x14ac:dyDescent="0.25">
      <c r="A268" s="33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2.5" customHeight="1" x14ac:dyDescent="0.25">
      <c r="A269" s="33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2.5" customHeight="1" x14ac:dyDescent="0.25">
      <c r="A270" s="33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2.5" customHeight="1" x14ac:dyDescent="0.25">
      <c r="A271" s="33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2.5" customHeight="1" x14ac:dyDescent="0.25">
      <c r="A272" s="33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2.5" customHeight="1" x14ac:dyDescent="0.25">
      <c r="A273" s="33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2.5" customHeight="1" x14ac:dyDescent="0.25">
      <c r="A274" s="33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2.5" customHeight="1" x14ac:dyDescent="0.25">
      <c r="A275" s="33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2.5" customHeight="1" x14ac:dyDescent="0.25">
      <c r="A276" s="33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2.5" customHeight="1" x14ac:dyDescent="0.25">
      <c r="A277" s="33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2.5" customHeight="1" x14ac:dyDescent="0.25">
      <c r="A278" s="33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2.5" customHeight="1" x14ac:dyDescent="0.25">
      <c r="A279" s="33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2.5" customHeight="1" x14ac:dyDescent="0.25">
      <c r="A280" s="33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2.5" customHeight="1" x14ac:dyDescent="0.25">
      <c r="A281" s="33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2.5" customHeight="1" x14ac:dyDescent="0.25">
      <c r="A282" s="33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2.5" customHeight="1" x14ac:dyDescent="0.25">
      <c r="A283" s="33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2.5" customHeight="1" x14ac:dyDescent="0.25">
      <c r="A284" s="33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2.5" customHeight="1" x14ac:dyDescent="0.25">
      <c r="A285" s="33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2.5" customHeight="1" x14ac:dyDescent="0.25">
      <c r="A286" s="33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2.5" customHeight="1" x14ac:dyDescent="0.25">
      <c r="A287" s="33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2.5" customHeight="1" x14ac:dyDescent="0.25">
      <c r="A288" s="33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2.5" customHeight="1" x14ac:dyDescent="0.25">
      <c r="A289" s="33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2.5" customHeight="1" x14ac:dyDescent="0.25">
      <c r="A290" s="33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2.5" customHeight="1" x14ac:dyDescent="0.25">
      <c r="A291" s="33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2.5" customHeight="1" x14ac:dyDescent="0.25">
      <c r="A292" s="33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2.5" customHeight="1" x14ac:dyDescent="0.25">
      <c r="A293" s="33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2.5" customHeight="1" x14ac:dyDescent="0.25">
      <c r="A294" s="33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2.5" customHeight="1" x14ac:dyDescent="0.25">
      <c r="A295" s="33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2.5" customHeight="1" x14ac:dyDescent="0.25">
      <c r="A296" s="33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2.5" customHeight="1" x14ac:dyDescent="0.25">
      <c r="A297" s="33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2.5" customHeight="1" x14ac:dyDescent="0.25">
      <c r="A298" s="33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2.5" customHeight="1" x14ac:dyDescent="0.25">
      <c r="A299" s="33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2.5" customHeight="1" x14ac:dyDescent="0.25">
      <c r="A300" s="33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2.5" customHeight="1" x14ac:dyDescent="0.25">
      <c r="A301" s="33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2.5" customHeight="1" x14ac:dyDescent="0.25">
      <c r="A302" s="33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2.5" customHeight="1" x14ac:dyDescent="0.25">
      <c r="A303" s="33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2.5" customHeight="1" x14ac:dyDescent="0.25">
      <c r="A304" s="33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2.5" customHeight="1" x14ac:dyDescent="0.25">
      <c r="A305" s="33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2.5" customHeight="1" x14ac:dyDescent="0.25">
      <c r="A306" s="33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2.5" customHeight="1" x14ac:dyDescent="0.25">
      <c r="A307" s="33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2.5" customHeight="1" x14ac:dyDescent="0.25">
      <c r="A308" s="33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2.5" customHeight="1" x14ac:dyDescent="0.25">
      <c r="A309" s="33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2.5" customHeight="1" x14ac:dyDescent="0.25">
      <c r="A310" s="33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2.5" customHeight="1" x14ac:dyDescent="0.25">
      <c r="A311" s="33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2.5" customHeight="1" x14ac:dyDescent="0.25">
      <c r="A312" s="33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2.5" customHeight="1" x14ac:dyDescent="0.25">
      <c r="A313" s="33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2.5" customHeight="1" x14ac:dyDescent="0.25">
      <c r="A314" s="33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2.5" customHeight="1" x14ac:dyDescent="0.25">
      <c r="A315" s="33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2.5" customHeight="1" x14ac:dyDescent="0.25">
      <c r="A316" s="33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2.5" customHeight="1" x14ac:dyDescent="0.25">
      <c r="A317" s="33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2.5" customHeight="1" x14ac:dyDescent="0.25">
      <c r="A318" s="33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2.5" customHeight="1" x14ac:dyDescent="0.25">
      <c r="A319" s="33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2.5" customHeight="1" x14ac:dyDescent="0.25">
      <c r="A320" s="33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2.5" customHeight="1" x14ac:dyDescent="0.25">
      <c r="A321" s="33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2.5" customHeight="1" x14ac:dyDescent="0.25">
      <c r="A322" s="33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2.5" customHeight="1" x14ac:dyDescent="0.25">
      <c r="A323" s="33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2.5" customHeight="1" x14ac:dyDescent="0.25">
      <c r="A324" s="33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2.5" customHeight="1" x14ac:dyDescent="0.25">
      <c r="A325" s="33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2.5" customHeight="1" x14ac:dyDescent="0.25">
      <c r="A326" s="33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2.5" customHeight="1" x14ac:dyDescent="0.25">
      <c r="A327" s="33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2.5" customHeight="1" x14ac:dyDescent="0.25">
      <c r="A328" s="33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2.5" customHeight="1" x14ac:dyDescent="0.25">
      <c r="A329" s="33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2.5" customHeight="1" x14ac:dyDescent="0.25">
      <c r="A330" s="33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2.5" customHeight="1" x14ac:dyDescent="0.25">
      <c r="A331" s="33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2.5" customHeight="1" x14ac:dyDescent="0.25">
      <c r="A332" s="33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2.5" customHeight="1" x14ac:dyDescent="0.25">
      <c r="A333" s="33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2.5" customHeight="1" x14ac:dyDescent="0.25">
      <c r="A334" s="33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2.5" customHeight="1" x14ac:dyDescent="0.25">
      <c r="A335" s="33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2.5" customHeight="1" x14ac:dyDescent="0.25">
      <c r="A336" s="33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2.5" customHeight="1" x14ac:dyDescent="0.25">
      <c r="A337" s="33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2.5" customHeight="1" x14ac:dyDescent="0.25">
      <c r="A338" s="33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2.5" customHeight="1" x14ac:dyDescent="0.25">
      <c r="A339" s="33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2.5" customHeight="1" x14ac:dyDescent="0.25">
      <c r="A340" s="33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2.5" customHeight="1" x14ac:dyDescent="0.25">
      <c r="A341" s="33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2.5" customHeight="1" x14ac:dyDescent="0.25">
      <c r="A342" s="33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2.5" customHeight="1" x14ac:dyDescent="0.25">
      <c r="A343" s="33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2.5" customHeight="1" x14ac:dyDescent="0.25">
      <c r="A344" s="33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2.5" customHeight="1" x14ac:dyDescent="0.25">
      <c r="A345" s="33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2.5" customHeight="1" x14ac:dyDescent="0.25">
      <c r="A346" s="33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2.5" customHeight="1" x14ac:dyDescent="0.25">
      <c r="A347" s="33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2.5" customHeight="1" x14ac:dyDescent="0.25">
      <c r="A348" s="33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2.5" customHeight="1" x14ac:dyDescent="0.25">
      <c r="A349" s="33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2.5" customHeight="1" x14ac:dyDescent="0.25">
      <c r="A350" s="33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2.5" customHeight="1" x14ac:dyDescent="0.25">
      <c r="A351" s="33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2.5" customHeight="1" x14ac:dyDescent="0.25">
      <c r="A352" s="33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2.5" customHeight="1" x14ac:dyDescent="0.25">
      <c r="A353" s="33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2.5" customHeight="1" x14ac:dyDescent="0.25">
      <c r="A354" s="33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2.5" customHeight="1" x14ac:dyDescent="0.25">
      <c r="A355" s="33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2.5" customHeight="1" x14ac:dyDescent="0.25">
      <c r="A356" s="33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2.5" customHeight="1" x14ac:dyDescent="0.25">
      <c r="A357" s="33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2.5" customHeight="1" x14ac:dyDescent="0.25">
      <c r="A358" s="33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2.5" customHeight="1" x14ac:dyDescent="0.25">
      <c r="A359" s="33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2.5" customHeight="1" x14ac:dyDescent="0.25">
      <c r="A360" s="33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2.5" customHeight="1" x14ac:dyDescent="0.25">
      <c r="A361" s="33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2.5" customHeight="1" x14ac:dyDescent="0.25">
      <c r="A362" s="33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2.5" customHeight="1" x14ac:dyDescent="0.25">
      <c r="A363" s="33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2.5" customHeight="1" x14ac:dyDescent="0.25">
      <c r="A364" s="33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2.5" customHeight="1" x14ac:dyDescent="0.25">
      <c r="A365" s="33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2.5" customHeight="1" x14ac:dyDescent="0.25">
      <c r="A366" s="33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2.5" customHeight="1" x14ac:dyDescent="0.25">
      <c r="A367" s="33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2.5" customHeight="1" x14ac:dyDescent="0.25">
      <c r="A368" s="33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2.5" customHeight="1" x14ac:dyDescent="0.25">
      <c r="A369" s="33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2.5" customHeight="1" x14ac:dyDescent="0.25">
      <c r="A370" s="33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2.5" customHeight="1" x14ac:dyDescent="0.25">
      <c r="A371" s="33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2.5" customHeight="1" x14ac:dyDescent="0.25">
      <c r="A372" s="33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2.5" customHeight="1" x14ac:dyDescent="0.25">
      <c r="A373" s="33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2.5" customHeight="1" x14ac:dyDescent="0.25">
      <c r="A374" s="33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2.5" customHeight="1" x14ac:dyDescent="0.25">
      <c r="A375" s="33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2.5" customHeight="1" x14ac:dyDescent="0.25">
      <c r="A376" s="33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2.5" customHeight="1" x14ac:dyDescent="0.25">
      <c r="A377" s="33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2.5" customHeight="1" x14ac:dyDescent="0.25">
      <c r="A378" s="33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2.5" customHeight="1" x14ac:dyDescent="0.25">
      <c r="A379" s="33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2.5" customHeight="1" x14ac:dyDescent="0.25">
      <c r="A380" s="33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2.5" customHeight="1" x14ac:dyDescent="0.25">
      <c r="A381" s="33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2.5" customHeight="1" x14ac:dyDescent="0.25">
      <c r="A382" s="33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2.5" customHeight="1" x14ac:dyDescent="0.25">
      <c r="A383" s="33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2.5" customHeight="1" x14ac:dyDescent="0.25">
      <c r="A384" s="33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2.5" customHeight="1" x14ac:dyDescent="0.25">
      <c r="A385" s="33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2.5" customHeight="1" x14ac:dyDescent="0.25">
      <c r="A386" s="33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2.5" customHeight="1" x14ac:dyDescent="0.25">
      <c r="A387" s="33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2.5" customHeight="1" x14ac:dyDescent="0.25">
      <c r="A388" s="33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2.5" customHeight="1" x14ac:dyDescent="0.25">
      <c r="A389" s="33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2.5" customHeight="1" x14ac:dyDescent="0.25">
      <c r="A390" s="33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2.5" customHeight="1" x14ac:dyDescent="0.25">
      <c r="A391" s="33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2.5" customHeight="1" x14ac:dyDescent="0.25">
      <c r="A392" s="33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2.5" customHeight="1" x14ac:dyDescent="0.25">
      <c r="A393" s="33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2.5" customHeight="1" x14ac:dyDescent="0.25">
      <c r="A394" s="33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2.5" customHeight="1" x14ac:dyDescent="0.25">
      <c r="A395" s="33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2.5" customHeight="1" x14ac:dyDescent="0.25">
      <c r="A396" s="33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2.5" customHeight="1" x14ac:dyDescent="0.25">
      <c r="A397" s="33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2.5" customHeight="1" x14ac:dyDescent="0.25">
      <c r="A398" s="33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2.5" customHeight="1" x14ac:dyDescent="0.25">
      <c r="A399" s="33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2.5" customHeight="1" x14ac:dyDescent="0.25">
      <c r="A400" s="33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2.5" customHeight="1" x14ac:dyDescent="0.25">
      <c r="A401" s="33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2.5" customHeight="1" x14ac:dyDescent="0.25">
      <c r="A402" s="33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2.5" customHeight="1" x14ac:dyDescent="0.25">
      <c r="A403" s="33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2.5" customHeight="1" x14ac:dyDescent="0.25">
      <c r="A404" s="33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2.5" customHeight="1" x14ac:dyDescent="0.25">
      <c r="A405" s="33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2.5" customHeight="1" x14ac:dyDescent="0.25">
      <c r="A406" s="33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2.5" customHeight="1" x14ac:dyDescent="0.25">
      <c r="A407" s="33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2.5" customHeight="1" x14ac:dyDescent="0.25">
      <c r="A408" s="33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2.5" customHeight="1" x14ac:dyDescent="0.25">
      <c r="A409" s="33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2.5" customHeight="1" x14ac:dyDescent="0.25">
      <c r="A410" s="33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2.5" customHeight="1" x14ac:dyDescent="0.25">
      <c r="A411" s="33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2.5" customHeight="1" x14ac:dyDescent="0.25">
      <c r="A412" s="33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2.5" customHeight="1" x14ac:dyDescent="0.25">
      <c r="A413" s="33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2.5" customHeight="1" x14ac:dyDescent="0.25">
      <c r="A414" s="33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2.5" customHeight="1" x14ac:dyDescent="0.25">
      <c r="A415" s="33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2.5" customHeight="1" x14ac:dyDescent="0.25">
      <c r="A416" s="33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2.5" customHeight="1" x14ac:dyDescent="0.25">
      <c r="A417" s="33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2.5" customHeight="1" x14ac:dyDescent="0.25">
      <c r="A418" s="33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2.5" customHeight="1" x14ac:dyDescent="0.25">
      <c r="A419" s="33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2.5" customHeight="1" x14ac:dyDescent="0.25">
      <c r="A420" s="33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2.5" customHeight="1" x14ac:dyDescent="0.25">
      <c r="A421" s="33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2.5" customHeight="1" x14ac:dyDescent="0.25">
      <c r="A422" s="33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2.5" customHeight="1" x14ac:dyDescent="0.25">
      <c r="A423" s="33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2.5" customHeight="1" x14ac:dyDescent="0.25">
      <c r="A424" s="33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2.5" customHeight="1" x14ac:dyDescent="0.25">
      <c r="A425" s="33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2.5" customHeight="1" x14ac:dyDescent="0.25">
      <c r="A426" s="33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2.5" customHeight="1" x14ac:dyDescent="0.25">
      <c r="A427" s="33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2.5" customHeight="1" x14ac:dyDescent="0.25">
      <c r="A428" s="33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2.5" customHeight="1" x14ac:dyDescent="0.25">
      <c r="A429" s="33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2.5" customHeight="1" x14ac:dyDescent="0.25">
      <c r="A430" s="33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2.5" customHeight="1" x14ac:dyDescent="0.25">
      <c r="A431" s="33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2.5" customHeight="1" x14ac:dyDescent="0.25">
      <c r="A432" s="33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2.5" customHeight="1" x14ac:dyDescent="0.25">
      <c r="A433" s="33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2.5" customHeight="1" x14ac:dyDescent="0.25">
      <c r="A434" s="33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2.5" customHeight="1" x14ac:dyDescent="0.25">
      <c r="A435" s="33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2.5" customHeight="1" x14ac:dyDescent="0.25">
      <c r="A436" s="33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2.5" customHeight="1" x14ac:dyDescent="0.25">
      <c r="A437" s="33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2.5" customHeight="1" x14ac:dyDescent="0.25">
      <c r="A438" s="33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2.5" customHeight="1" x14ac:dyDescent="0.25">
      <c r="A439" s="33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2.5" customHeight="1" x14ac:dyDescent="0.25">
      <c r="A440" s="33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2.5" customHeight="1" x14ac:dyDescent="0.25">
      <c r="A441" s="33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2.5" customHeight="1" x14ac:dyDescent="0.25">
      <c r="A442" s="33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2.5" customHeight="1" x14ac:dyDescent="0.25">
      <c r="A443" s="33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2.5" customHeight="1" x14ac:dyDescent="0.25">
      <c r="A444" s="33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2.5" customHeight="1" x14ac:dyDescent="0.25">
      <c r="A445" s="33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2.5" customHeight="1" x14ac:dyDescent="0.25">
      <c r="A446" s="33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2.5" customHeight="1" x14ac:dyDescent="0.25">
      <c r="A447" s="33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2.5" customHeight="1" x14ac:dyDescent="0.25">
      <c r="A448" s="33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2.5" customHeight="1" x14ac:dyDescent="0.25">
      <c r="A449" s="33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2.5" customHeight="1" x14ac:dyDescent="0.25">
      <c r="A450" s="33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2.5" customHeight="1" x14ac:dyDescent="0.25">
      <c r="A451" s="33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2.5" customHeight="1" x14ac:dyDescent="0.25">
      <c r="A452" s="33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2.5" customHeight="1" x14ac:dyDescent="0.25">
      <c r="A453" s="33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2.5" customHeight="1" x14ac:dyDescent="0.25">
      <c r="A454" s="33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2.5" customHeight="1" x14ac:dyDescent="0.25">
      <c r="A455" s="33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2.5" customHeight="1" x14ac:dyDescent="0.25">
      <c r="A456" s="33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2.5" customHeight="1" x14ac:dyDescent="0.25">
      <c r="A457" s="33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2.5" customHeight="1" x14ac:dyDescent="0.25">
      <c r="A458" s="33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2.5" customHeight="1" x14ac:dyDescent="0.25">
      <c r="A459" s="33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2.5" customHeight="1" x14ac:dyDescent="0.25">
      <c r="A460" s="33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2.5" customHeight="1" x14ac:dyDescent="0.25">
      <c r="A461" s="33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2.5" customHeight="1" x14ac:dyDescent="0.25">
      <c r="A462" s="33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2.5" customHeight="1" x14ac:dyDescent="0.25">
      <c r="A463" s="33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2.5" customHeight="1" x14ac:dyDescent="0.25">
      <c r="A464" s="33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2.5" customHeight="1" x14ac:dyDescent="0.25">
      <c r="A465" s="33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2.5" customHeight="1" x14ac:dyDescent="0.25">
      <c r="A466" s="33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2.5" customHeight="1" x14ac:dyDescent="0.25">
      <c r="A467" s="33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2.5" customHeight="1" x14ac:dyDescent="0.25">
      <c r="A468" s="33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2.5" customHeight="1" x14ac:dyDescent="0.25">
      <c r="A469" s="33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2.5" customHeight="1" x14ac:dyDescent="0.25">
      <c r="A470" s="33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2.5" customHeight="1" x14ac:dyDescent="0.25">
      <c r="A471" s="33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2.5" customHeight="1" x14ac:dyDescent="0.25">
      <c r="A472" s="33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2.5" customHeight="1" x14ac:dyDescent="0.25">
      <c r="A473" s="33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2.5" customHeight="1" x14ac:dyDescent="0.25">
      <c r="A474" s="33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2.5" customHeight="1" x14ac:dyDescent="0.25">
      <c r="A475" s="33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2.5" customHeight="1" x14ac:dyDescent="0.25">
      <c r="A476" s="33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2.5" customHeight="1" x14ac:dyDescent="0.25">
      <c r="A477" s="33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2.5" customHeight="1" x14ac:dyDescent="0.25">
      <c r="A478" s="33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2.5" customHeight="1" x14ac:dyDescent="0.25">
      <c r="A479" s="33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2.5" customHeight="1" x14ac:dyDescent="0.25">
      <c r="A480" s="33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2.5" customHeight="1" x14ac:dyDescent="0.25">
      <c r="A481" s="33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2.5" customHeight="1" x14ac:dyDescent="0.25">
      <c r="A482" s="33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2.5" customHeight="1" x14ac:dyDescent="0.25">
      <c r="A483" s="33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2.5" customHeight="1" x14ac:dyDescent="0.25">
      <c r="A484" s="33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2.5" customHeight="1" x14ac:dyDescent="0.25">
      <c r="A485" s="33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2.5" customHeight="1" x14ac:dyDescent="0.25">
      <c r="A486" s="33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2.5" customHeight="1" x14ac:dyDescent="0.25">
      <c r="A487" s="33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2.5" customHeight="1" x14ac:dyDescent="0.25">
      <c r="A488" s="33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2.5" customHeight="1" x14ac:dyDescent="0.25">
      <c r="A489" s="33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2.5" customHeight="1" x14ac:dyDescent="0.25">
      <c r="A490" s="33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2.5" customHeight="1" x14ac:dyDescent="0.25">
      <c r="A491" s="33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2.5" customHeight="1" x14ac:dyDescent="0.25">
      <c r="A492" s="33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2.5" customHeight="1" x14ac:dyDescent="0.25">
      <c r="A493" s="33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2.5" customHeight="1" x14ac:dyDescent="0.25">
      <c r="A494" s="33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2.5" customHeight="1" x14ac:dyDescent="0.25">
      <c r="A495" s="33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2.5" customHeight="1" x14ac:dyDescent="0.25">
      <c r="A496" s="33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2.5" customHeight="1" x14ac:dyDescent="0.25">
      <c r="A497" s="33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2.5" customHeight="1" x14ac:dyDescent="0.25">
      <c r="A498" s="33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2.5" customHeight="1" x14ac:dyDescent="0.25">
      <c r="A499" s="33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2.5" customHeight="1" x14ac:dyDescent="0.25">
      <c r="A500" s="33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2.5" customHeight="1" x14ac:dyDescent="0.25">
      <c r="A501" s="33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2.5" customHeight="1" x14ac:dyDescent="0.25">
      <c r="A502" s="33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2.5" customHeight="1" x14ac:dyDescent="0.25">
      <c r="A503" s="33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2.5" customHeight="1" x14ac:dyDescent="0.25">
      <c r="A504" s="33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2.5" customHeight="1" x14ac:dyDescent="0.25">
      <c r="A505" s="33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2.5" customHeight="1" x14ac:dyDescent="0.25">
      <c r="A506" s="33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2.5" customHeight="1" x14ac:dyDescent="0.25">
      <c r="A507" s="33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2.5" customHeight="1" x14ac:dyDescent="0.25">
      <c r="A508" s="33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2.5" customHeight="1" x14ac:dyDescent="0.25">
      <c r="A509" s="33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2.5" customHeight="1" x14ac:dyDescent="0.25">
      <c r="A510" s="33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2.5" customHeight="1" x14ac:dyDescent="0.25">
      <c r="A511" s="33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2.5" customHeight="1" x14ac:dyDescent="0.25">
      <c r="A512" s="33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2.5" customHeight="1" x14ac:dyDescent="0.25">
      <c r="A513" s="33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2.5" customHeight="1" x14ac:dyDescent="0.25">
      <c r="A514" s="33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2.5" customHeight="1" x14ac:dyDescent="0.25">
      <c r="A515" s="33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2.5" customHeight="1" x14ac:dyDescent="0.25">
      <c r="A516" s="33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2.5" customHeight="1" x14ac:dyDescent="0.25">
      <c r="A517" s="33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2.5" customHeight="1" x14ac:dyDescent="0.25">
      <c r="A518" s="33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2.5" customHeight="1" x14ac:dyDescent="0.25">
      <c r="A519" s="33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2.5" customHeight="1" x14ac:dyDescent="0.25">
      <c r="A520" s="33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2.5" customHeight="1" x14ac:dyDescent="0.25">
      <c r="A521" s="33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2.5" customHeight="1" x14ac:dyDescent="0.25">
      <c r="A522" s="33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2.5" customHeight="1" x14ac:dyDescent="0.25">
      <c r="A523" s="33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2.5" customHeight="1" x14ac:dyDescent="0.25">
      <c r="A524" s="33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2.5" customHeight="1" x14ac:dyDescent="0.25">
      <c r="A525" s="33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2.5" customHeight="1" x14ac:dyDescent="0.25">
      <c r="A526" s="33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2.5" customHeight="1" x14ac:dyDescent="0.25">
      <c r="A527" s="33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2.5" customHeight="1" x14ac:dyDescent="0.25">
      <c r="A528" s="33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2.5" customHeight="1" x14ac:dyDescent="0.25">
      <c r="A529" s="33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2.5" customHeight="1" x14ac:dyDescent="0.25">
      <c r="A530" s="33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2.5" customHeight="1" x14ac:dyDescent="0.25">
      <c r="A531" s="33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2.5" customHeight="1" x14ac:dyDescent="0.25">
      <c r="A532" s="33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2.5" customHeight="1" x14ac:dyDescent="0.25">
      <c r="A533" s="33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2.5" customHeight="1" x14ac:dyDescent="0.25">
      <c r="A534" s="33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2.5" customHeight="1" x14ac:dyDescent="0.25">
      <c r="A535" s="33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2.5" customHeight="1" x14ac:dyDescent="0.25">
      <c r="A536" s="33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2.5" customHeight="1" x14ac:dyDescent="0.25">
      <c r="A537" s="33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2.5" customHeight="1" x14ac:dyDescent="0.25">
      <c r="A538" s="33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2.5" customHeight="1" x14ac:dyDescent="0.25">
      <c r="A539" s="33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2.5" customHeight="1" x14ac:dyDescent="0.25">
      <c r="A540" s="33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2.5" customHeight="1" x14ac:dyDescent="0.25">
      <c r="A541" s="33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2.5" customHeight="1" x14ac:dyDescent="0.25">
      <c r="A542" s="33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2.5" customHeight="1" x14ac:dyDescent="0.25">
      <c r="A543" s="33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2.5" customHeight="1" x14ac:dyDescent="0.25">
      <c r="A544" s="33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2.5" customHeight="1" x14ac:dyDescent="0.25">
      <c r="A545" s="33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2.5" customHeight="1" x14ac:dyDescent="0.25">
      <c r="A546" s="33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2.5" customHeight="1" x14ac:dyDescent="0.25">
      <c r="A547" s="33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2.5" customHeight="1" x14ac:dyDescent="0.25">
      <c r="A548" s="33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2.5" customHeight="1" x14ac:dyDescent="0.25">
      <c r="A549" s="33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2.5" customHeight="1" x14ac:dyDescent="0.25">
      <c r="A550" s="33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2.5" customHeight="1" x14ac:dyDescent="0.25">
      <c r="A551" s="33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2.5" customHeight="1" x14ac:dyDescent="0.25">
      <c r="A552" s="33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2.5" customHeight="1" x14ac:dyDescent="0.25">
      <c r="A553" s="33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2.5" customHeight="1" x14ac:dyDescent="0.25">
      <c r="A554" s="33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2.5" customHeight="1" x14ac:dyDescent="0.25">
      <c r="A555" s="33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2.5" customHeight="1" x14ac:dyDescent="0.25">
      <c r="A556" s="33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2.5" customHeight="1" x14ac:dyDescent="0.25">
      <c r="A557" s="33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2.5" customHeight="1" x14ac:dyDescent="0.25">
      <c r="A558" s="33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2.5" customHeight="1" x14ac:dyDescent="0.25">
      <c r="A559" s="33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2.5" customHeight="1" x14ac:dyDescent="0.25">
      <c r="A560" s="33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2.5" customHeight="1" x14ac:dyDescent="0.25">
      <c r="A561" s="33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2.5" customHeight="1" x14ac:dyDescent="0.25">
      <c r="A562" s="33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2.5" customHeight="1" x14ac:dyDescent="0.25">
      <c r="A563" s="33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2.5" customHeight="1" x14ac:dyDescent="0.25">
      <c r="A564" s="33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2.5" customHeight="1" x14ac:dyDescent="0.25">
      <c r="A565" s="33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2.5" customHeight="1" x14ac:dyDescent="0.25">
      <c r="A566" s="33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2.5" customHeight="1" x14ac:dyDescent="0.25">
      <c r="A567" s="33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2.5" customHeight="1" x14ac:dyDescent="0.25">
      <c r="A568" s="33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2.5" customHeight="1" x14ac:dyDescent="0.25">
      <c r="A569" s="33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2.5" customHeight="1" x14ac:dyDescent="0.25">
      <c r="A570" s="33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2.5" customHeight="1" x14ac:dyDescent="0.25">
      <c r="A571" s="33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2.5" customHeight="1" x14ac:dyDescent="0.25">
      <c r="A572" s="33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2.5" customHeight="1" x14ac:dyDescent="0.25">
      <c r="A573" s="33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2.5" customHeight="1" x14ac:dyDescent="0.25">
      <c r="A574" s="33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2.5" customHeight="1" x14ac:dyDescent="0.25">
      <c r="A575" s="33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2.5" customHeight="1" x14ac:dyDescent="0.25">
      <c r="A576" s="33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2.5" customHeight="1" x14ac:dyDescent="0.25">
      <c r="A577" s="33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2.5" customHeight="1" x14ac:dyDescent="0.25">
      <c r="A578" s="33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2.5" customHeight="1" x14ac:dyDescent="0.25">
      <c r="A579" s="33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2.5" customHeight="1" x14ac:dyDescent="0.25">
      <c r="A580" s="33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2.5" customHeight="1" x14ac:dyDescent="0.25">
      <c r="A581" s="33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2.5" customHeight="1" x14ac:dyDescent="0.25">
      <c r="A582" s="33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2.5" customHeight="1" x14ac:dyDescent="0.25">
      <c r="A583" s="33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2.5" customHeight="1" x14ac:dyDescent="0.25">
      <c r="A584" s="33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2.5" customHeight="1" x14ac:dyDescent="0.25">
      <c r="A585" s="33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2.5" customHeight="1" x14ac:dyDescent="0.25">
      <c r="A586" s="33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2.5" customHeight="1" x14ac:dyDescent="0.25">
      <c r="A587" s="33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2.5" customHeight="1" x14ac:dyDescent="0.25">
      <c r="A588" s="33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2.5" customHeight="1" x14ac:dyDescent="0.25">
      <c r="A589" s="33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2.5" customHeight="1" x14ac:dyDescent="0.25">
      <c r="A590" s="33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2.5" customHeight="1" x14ac:dyDescent="0.25">
      <c r="A591" s="33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2.5" customHeight="1" x14ac:dyDescent="0.25">
      <c r="A592" s="33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2.5" customHeight="1" x14ac:dyDescent="0.25">
      <c r="A593" s="33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2.5" customHeight="1" x14ac:dyDescent="0.25">
      <c r="A594" s="33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2.5" customHeight="1" x14ac:dyDescent="0.25">
      <c r="A595" s="33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2.5" customHeight="1" x14ac:dyDescent="0.25">
      <c r="A596" s="33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2.5" customHeight="1" x14ac:dyDescent="0.25">
      <c r="A597" s="33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2.5" customHeight="1" x14ac:dyDescent="0.25">
      <c r="A598" s="33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2.5" customHeight="1" x14ac:dyDescent="0.25">
      <c r="A599" s="33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2.5" customHeight="1" x14ac:dyDescent="0.25">
      <c r="A600" s="33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2.5" customHeight="1" x14ac:dyDescent="0.25">
      <c r="A601" s="33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2.5" customHeight="1" x14ac:dyDescent="0.25">
      <c r="A602" s="33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2.5" customHeight="1" x14ac:dyDescent="0.25">
      <c r="A603" s="33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2.5" customHeight="1" x14ac:dyDescent="0.25">
      <c r="A604" s="33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2.5" customHeight="1" x14ac:dyDescent="0.25">
      <c r="A605" s="33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2.5" customHeight="1" x14ac:dyDescent="0.25">
      <c r="A606" s="33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2.5" customHeight="1" x14ac:dyDescent="0.25">
      <c r="A607" s="33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2.5" customHeight="1" x14ac:dyDescent="0.25">
      <c r="A608" s="33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2.5" customHeight="1" x14ac:dyDescent="0.25">
      <c r="A609" s="33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2.5" customHeight="1" x14ac:dyDescent="0.25">
      <c r="A610" s="33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2.5" customHeight="1" x14ac:dyDescent="0.25">
      <c r="A611" s="33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2.5" customHeight="1" x14ac:dyDescent="0.25">
      <c r="A612" s="33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2.5" customHeight="1" x14ac:dyDescent="0.25">
      <c r="A613" s="33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2.5" customHeight="1" x14ac:dyDescent="0.25">
      <c r="A614" s="33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2.5" customHeight="1" x14ac:dyDescent="0.25">
      <c r="A615" s="33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2.5" customHeight="1" x14ac:dyDescent="0.25">
      <c r="A616" s="33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2.5" customHeight="1" x14ac:dyDescent="0.25">
      <c r="A617" s="33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2.5" customHeight="1" x14ac:dyDescent="0.25">
      <c r="A618" s="33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2.5" customHeight="1" x14ac:dyDescent="0.25">
      <c r="A619" s="33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2.5" customHeight="1" x14ac:dyDescent="0.25">
      <c r="A620" s="33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2.5" customHeight="1" x14ac:dyDescent="0.25">
      <c r="A621" s="33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2.5" customHeight="1" x14ac:dyDescent="0.25">
      <c r="A622" s="33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2.5" customHeight="1" x14ac:dyDescent="0.25">
      <c r="A623" s="33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2.5" customHeight="1" x14ac:dyDescent="0.25">
      <c r="A624" s="33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2.5" customHeight="1" x14ac:dyDescent="0.25">
      <c r="A625" s="33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2.5" customHeight="1" x14ac:dyDescent="0.25">
      <c r="A626" s="33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2.5" customHeight="1" x14ac:dyDescent="0.25">
      <c r="A627" s="33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2.5" customHeight="1" x14ac:dyDescent="0.25">
      <c r="A628" s="33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2.5" customHeight="1" x14ac:dyDescent="0.25">
      <c r="A629" s="33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2.5" customHeight="1" x14ac:dyDescent="0.25">
      <c r="A630" s="33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2.5" customHeight="1" x14ac:dyDescent="0.25">
      <c r="A631" s="33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2.5" customHeight="1" x14ac:dyDescent="0.25">
      <c r="A632" s="33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2.5" customHeight="1" x14ac:dyDescent="0.25">
      <c r="A633" s="33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2.5" customHeight="1" x14ac:dyDescent="0.25">
      <c r="A634" s="33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2.5" customHeight="1" x14ac:dyDescent="0.25">
      <c r="A635" s="33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2.5" customHeight="1" x14ac:dyDescent="0.25">
      <c r="A636" s="33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2.5" customHeight="1" x14ac:dyDescent="0.25">
      <c r="A637" s="33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2.5" customHeight="1" x14ac:dyDescent="0.25">
      <c r="A638" s="33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2.5" customHeight="1" x14ac:dyDescent="0.25">
      <c r="A639" s="33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2.5" customHeight="1" x14ac:dyDescent="0.25">
      <c r="A640" s="33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2.5" customHeight="1" x14ac:dyDescent="0.25">
      <c r="A641" s="33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2.5" customHeight="1" x14ac:dyDescent="0.25">
      <c r="A642" s="33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2.5" customHeight="1" x14ac:dyDescent="0.25">
      <c r="A643" s="33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2.5" customHeight="1" x14ac:dyDescent="0.25">
      <c r="A644" s="33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2.5" customHeight="1" x14ac:dyDescent="0.25">
      <c r="A645" s="33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2.5" customHeight="1" x14ac:dyDescent="0.25">
      <c r="A646" s="33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2.5" customHeight="1" x14ac:dyDescent="0.25">
      <c r="A647" s="33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2.5" customHeight="1" x14ac:dyDescent="0.25">
      <c r="A648" s="33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2.5" customHeight="1" x14ac:dyDescent="0.25">
      <c r="A649" s="33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2.5" customHeight="1" x14ac:dyDescent="0.25">
      <c r="A650" s="33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2.5" customHeight="1" x14ac:dyDescent="0.25">
      <c r="A651" s="33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2.5" customHeight="1" x14ac:dyDescent="0.25">
      <c r="A652" s="33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2.5" customHeight="1" x14ac:dyDescent="0.25">
      <c r="A653" s="33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2.5" customHeight="1" x14ac:dyDescent="0.25">
      <c r="A654" s="33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2.5" customHeight="1" x14ac:dyDescent="0.25">
      <c r="A655" s="33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2.5" customHeight="1" x14ac:dyDescent="0.25">
      <c r="A656" s="33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2.5" customHeight="1" x14ac:dyDescent="0.25">
      <c r="A657" s="33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2.5" customHeight="1" x14ac:dyDescent="0.25">
      <c r="A658" s="33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2.5" customHeight="1" x14ac:dyDescent="0.25">
      <c r="A659" s="33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2.5" customHeight="1" x14ac:dyDescent="0.25">
      <c r="A660" s="33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2.5" customHeight="1" x14ac:dyDescent="0.25">
      <c r="A661" s="33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2.5" customHeight="1" x14ac:dyDescent="0.25">
      <c r="A662" s="33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2.5" customHeight="1" x14ac:dyDescent="0.25">
      <c r="A663" s="33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2.5" customHeight="1" x14ac:dyDescent="0.25">
      <c r="A664" s="33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2.5" customHeight="1" x14ac:dyDescent="0.25">
      <c r="A665" s="33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2.5" customHeight="1" x14ac:dyDescent="0.25">
      <c r="A666" s="33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2.5" customHeight="1" x14ac:dyDescent="0.25">
      <c r="A667" s="33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2.5" customHeight="1" x14ac:dyDescent="0.25">
      <c r="A668" s="33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2.5" customHeight="1" x14ac:dyDescent="0.25">
      <c r="A669" s="33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2.5" customHeight="1" x14ac:dyDescent="0.25">
      <c r="A670" s="33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2.5" customHeight="1" x14ac:dyDescent="0.25">
      <c r="A671" s="33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2.5" customHeight="1" x14ac:dyDescent="0.25">
      <c r="A672" s="33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2.5" customHeight="1" x14ac:dyDescent="0.25">
      <c r="A673" s="33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2.5" customHeight="1" x14ac:dyDescent="0.25">
      <c r="A674" s="33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2.5" customHeight="1" x14ac:dyDescent="0.25">
      <c r="A675" s="33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2.5" customHeight="1" x14ac:dyDescent="0.25">
      <c r="A676" s="33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2.5" customHeight="1" x14ac:dyDescent="0.25">
      <c r="A677" s="33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2.5" customHeight="1" x14ac:dyDescent="0.25">
      <c r="A678" s="33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2.5" customHeight="1" x14ac:dyDescent="0.25">
      <c r="A679" s="33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2.5" customHeight="1" x14ac:dyDescent="0.25">
      <c r="A680" s="33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2.5" customHeight="1" x14ac:dyDescent="0.25">
      <c r="A681" s="33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2.5" customHeight="1" x14ac:dyDescent="0.25">
      <c r="A682" s="33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2.5" customHeight="1" x14ac:dyDescent="0.25">
      <c r="A683" s="33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2.5" customHeight="1" x14ac:dyDescent="0.25">
      <c r="A684" s="33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2.5" customHeight="1" x14ac:dyDescent="0.25">
      <c r="A685" s="33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2.5" customHeight="1" x14ac:dyDescent="0.25">
      <c r="A686" s="33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2.5" customHeight="1" x14ac:dyDescent="0.25">
      <c r="A687" s="33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2.5" customHeight="1" x14ac:dyDescent="0.25">
      <c r="A688" s="33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2.5" customHeight="1" x14ac:dyDescent="0.25">
      <c r="A689" s="33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2.5" customHeight="1" x14ac:dyDescent="0.25">
      <c r="A690" s="33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2.5" customHeight="1" x14ac:dyDescent="0.25">
      <c r="A691" s="33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2.5" customHeight="1" x14ac:dyDescent="0.25">
      <c r="A692" s="33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2.5" customHeight="1" x14ac:dyDescent="0.25">
      <c r="A693" s="33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2.5" customHeight="1" x14ac:dyDescent="0.25">
      <c r="A694" s="33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2.5" customHeight="1" x14ac:dyDescent="0.25">
      <c r="A695" s="33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2.5" customHeight="1" x14ac:dyDescent="0.25">
      <c r="A696" s="33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2.5" customHeight="1" x14ac:dyDescent="0.25">
      <c r="A697" s="33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2.5" customHeight="1" x14ac:dyDescent="0.25">
      <c r="A698" s="33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2.5" customHeight="1" x14ac:dyDescent="0.25">
      <c r="A699" s="33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2.5" customHeight="1" x14ac:dyDescent="0.25">
      <c r="A700" s="33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2.5" customHeight="1" x14ac:dyDescent="0.25">
      <c r="A701" s="33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2.5" customHeight="1" x14ac:dyDescent="0.25">
      <c r="A702" s="33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2.5" customHeight="1" x14ac:dyDescent="0.25">
      <c r="A703" s="33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2.5" customHeight="1" x14ac:dyDescent="0.25">
      <c r="A704" s="33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2.5" customHeight="1" x14ac:dyDescent="0.25">
      <c r="A705" s="33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2.5" customHeight="1" x14ac:dyDescent="0.25">
      <c r="A706" s="33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2.5" customHeight="1" x14ac:dyDescent="0.25">
      <c r="A707" s="33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2.5" customHeight="1" x14ac:dyDescent="0.25">
      <c r="A708" s="33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2.5" customHeight="1" x14ac:dyDescent="0.25">
      <c r="A709" s="33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2.5" customHeight="1" x14ac:dyDescent="0.25">
      <c r="A710" s="33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2.5" customHeight="1" x14ac:dyDescent="0.25">
      <c r="A711" s="33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2.5" customHeight="1" x14ac:dyDescent="0.25">
      <c r="A712" s="33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2.5" customHeight="1" x14ac:dyDescent="0.25">
      <c r="A713" s="33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2.5" customHeight="1" x14ac:dyDescent="0.25">
      <c r="A714" s="33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2.5" customHeight="1" x14ac:dyDescent="0.25">
      <c r="A715" s="33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2.5" customHeight="1" x14ac:dyDescent="0.25">
      <c r="A716" s="33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2.5" customHeight="1" x14ac:dyDescent="0.25">
      <c r="A717" s="33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2.5" customHeight="1" x14ac:dyDescent="0.25">
      <c r="A718" s="33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2.5" customHeight="1" x14ac:dyDescent="0.25">
      <c r="A719" s="33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2.5" customHeight="1" x14ac:dyDescent="0.25">
      <c r="A720" s="33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2.5" customHeight="1" x14ac:dyDescent="0.25">
      <c r="A721" s="33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2.5" customHeight="1" x14ac:dyDescent="0.25">
      <c r="A722" s="33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2.5" customHeight="1" x14ac:dyDescent="0.25">
      <c r="A723" s="33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2.5" customHeight="1" x14ac:dyDescent="0.25">
      <c r="A724" s="33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2.5" customHeight="1" x14ac:dyDescent="0.25">
      <c r="A725" s="33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2.5" customHeight="1" x14ac:dyDescent="0.25">
      <c r="A726" s="33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2.5" customHeight="1" x14ac:dyDescent="0.25">
      <c r="A727" s="33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2.5" customHeight="1" x14ac:dyDescent="0.25">
      <c r="A728" s="33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2.5" customHeight="1" x14ac:dyDescent="0.25">
      <c r="A729" s="33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2.5" customHeight="1" x14ac:dyDescent="0.25">
      <c r="A730" s="33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2.5" customHeight="1" x14ac:dyDescent="0.25">
      <c r="A731" s="33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2.5" customHeight="1" x14ac:dyDescent="0.25">
      <c r="A732" s="33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2.5" customHeight="1" x14ac:dyDescent="0.25">
      <c r="A733" s="33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2.5" customHeight="1" x14ac:dyDescent="0.25">
      <c r="A734" s="33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2.5" customHeight="1" x14ac:dyDescent="0.25">
      <c r="A735" s="33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2.5" customHeight="1" x14ac:dyDescent="0.25">
      <c r="A736" s="33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2.5" customHeight="1" x14ac:dyDescent="0.25">
      <c r="A737" s="33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2.5" customHeight="1" x14ac:dyDescent="0.25">
      <c r="A738" s="33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2.5" customHeight="1" x14ac:dyDescent="0.25">
      <c r="A739" s="33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2.5" customHeight="1" x14ac:dyDescent="0.25">
      <c r="A740" s="33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2.5" customHeight="1" x14ac:dyDescent="0.25">
      <c r="A741" s="33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2.5" customHeight="1" x14ac:dyDescent="0.25">
      <c r="A742" s="33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2.5" customHeight="1" x14ac:dyDescent="0.25">
      <c r="A743" s="33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2.5" customHeight="1" x14ac:dyDescent="0.25">
      <c r="A744" s="33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2.5" customHeight="1" x14ac:dyDescent="0.25">
      <c r="A745" s="33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2.5" customHeight="1" x14ac:dyDescent="0.25">
      <c r="A746" s="33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2.5" customHeight="1" x14ac:dyDescent="0.25">
      <c r="A747" s="33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2.5" customHeight="1" x14ac:dyDescent="0.25">
      <c r="A748" s="33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2.5" customHeight="1" x14ac:dyDescent="0.25">
      <c r="A749" s="33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2.5" customHeight="1" x14ac:dyDescent="0.25">
      <c r="A750" s="33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2.5" customHeight="1" x14ac:dyDescent="0.25">
      <c r="A751" s="33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2.5" customHeight="1" x14ac:dyDescent="0.25">
      <c r="A752" s="33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2.5" customHeight="1" x14ac:dyDescent="0.25">
      <c r="A753" s="33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2.5" customHeight="1" x14ac:dyDescent="0.25">
      <c r="A754" s="33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2.5" customHeight="1" x14ac:dyDescent="0.25">
      <c r="A755" s="33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2.5" customHeight="1" x14ac:dyDescent="0.25">
      <c r="A756" s="33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2.5" customHeight="1" x14ac:dyDescent="0.25">
      <c r="A757" s="33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2.5" customHeight="1" x14ac:dyDescent="0.25">
      <c r="A758" s="33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2.5" customHeight="1" x14ac:dyDescent="0.25">
      <c r="A759" s="33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2.5" customHeight="1" x14ac:dyDescent="0.25">
      <c r="A760" s="33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2.5" customHeight="1" x14ac:dyDescent="0.25">
      <c r="A761" s="33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2.5" customHeight="1" x14ac:dyDescent="0.25">
      <c r="A762" s="33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2.5" customHeight="1" x14ac:dyDescent="0.25">
      <c r="A763" s="33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2.5" customHeight="1" x14ac:dyDescent="0.25">
      <c r="A764" s="33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2.5" customHeight="1" x14ac:dyDescent="0.25">
      <c r="A765" s="33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2.5" customHeight="1" x14ac:dyDescent="0.25">
      <c r="A766" s="33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2.5" customHeight="1" x14ac:dyDescent="0.25">
      <c r="A767" s="33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2.5" customHeight="1" x14ac:dyDescent="0.25">
      <c r="A768" s="33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2.5" customHeight="1" x14ac:dyDescent="0.25">
      <c r="A769" s="33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2.5" customHeight="1" x14ac:dyDescent="0.25">
      <c r="A770" s="33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2.5" customHeight="1" x14ac:dyDescent="0.25">
      <c r="A771" s="33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2.5" customHeight="1" x14ac:dyDescent="0.25">
      <c r="A772" s="33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2.5" customHeight="1" x14ac:dyDescent="0.25">
      <c r="A773" s="33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2.5" customHeight="1" x14ac:dyDescent="0.25">
      <c r="A774" s="33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2.5" customHeight="1" x14ac:dyDescent="0.25">
      <c r="A775" s="33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2.5" customHeight="1" x14ac:dyDescent="0.25">
      <c r="A776" s="33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2.5" customHeight="1" x14ac:dyDescent="0.25">
      <c r="A777" s="33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2.5" customHeight="1" x14ac:dyDescent="0.25">
      <c r="A778" s="33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2.5" customHeight="1" x14ac:dyDescent="0.25">
      <c r="A779" s="33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2.5" customHeight="1" x14ac:dyDescent="0.25">
      <c r="A780" s="33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2.5" customHeight="1" x14ac:dyDescent="0.25">
      <c r="A781" s="33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2.5" customHeight="1" x14ac:dyDescent="0.25">
      <c r="A782" s="33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2.5" customHeight="1" x14ac:dyDescent="0.25">
      <c r="A783" s="33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2.5" customHeight="1" x14ac:dyDescent="0.25">
      <c r="A784" s="33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2.5" customHeight="1" x14ac:dyDescent="0.25">
      <c r="A785" s="33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2.5" customHeight="1" x14ac:dyDescent="0.25">
      <c r="A786" s="33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2.5" customHeight="1" x14ac:dyDescent="0.25">
      <c r="A787" s="33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2.5" customHeight="1" x14ac:dyDescent="0.25">
      <c r="A788" s="33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2.5" customHeight="1" x14ac:dyDescent="0.25">
      <c r="A789" s="33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2.5" customHeight="1" x14ac:dyDescent="0.25">
      <c r="A790" s="33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2.5" customHeight="1" x14ac:dyDescent="0.25">
      <c r="A791" s="33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2.5" customHeight="1" x14ac:dyDescent="0.25">
      <c r="A792" s="33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2.5" customHeight="1" x14ac:dyDescent="0.25">
      <c r="A793" s="33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2.5" customHeight="1" x14ac:dyDescent="0.25">
      <c r="A794" s="33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2.5" customHeight="1" x14ac:dyDescent="0.25">
      <c r="A795" s="33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2.5" customHeight="1" x14ac:dyDescent="0.25">
      <c r="A796" s="33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2.5" customHeight="1" x14ac:dyDescent="0.25">
      <c r="A797" s="33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2.5" customHeight="1" x14ac:dyDescent="0.25">
      <c r="A798" s="33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2.5" customHeight="1" x14ac:dyDescent="0.25">
      <c r="A799" s="33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2.5" customHeight="1" x14ac:dyDescent="0.25">
      <c r="A800" s="33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2.5" customHeight="1" x14ac:dyDescent="0.25">
      <c r="A801" s="33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2.5" customHeight="1" x14ac:dyDescent="0.25">
      <c r="A802" s="33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2.5" customHeight="1" x14ac:dyDescent="0.25">
      <c r="A803" s="33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2.5" customHeight="1" x14ac:dyDescent="0.25">
      <c r="A804" s="33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2.5" customHeight="1" x14ac:dyDescent="0.25">
      <c r="A805" s="33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2.5" customHeight="1" x14ac:dyDescent="0.25">
      <c r="A806" s="33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2.5" customHeight="1" x14ac:dyDescent="0.25">
      <c r="A807" s="33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2.5" customHeight="1" x14ac:dyDescent="0.25">
      <c r="A808" s="33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2.5" customHeight="1" x14ac:dyDescent="0.25">
      <c r="A809" s="33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2.5" customHeight="1" x14ac:dyDescent="0.25">
      <c r="A810" s="33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2.5" customHeight="1" x14ac:dyDescent="0.25">
      <c r="A811" s="33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2.5" customHeight="1" x14ac:dyDescent="0.25">
      <c r="A812" s="33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2.5" customHeight="1" x14ac:dyDescent="0.25">
      <c r="A813" s="33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2.5" customHeight="1" x14ac:dyDescent="0.25">
      <c r="A814" s="33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2.5" customHeight="1" x14ac:dyDescent="0.25">
      <c r="A815" s="33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2.5" customHeight="1" x14ac:dyDescent="0.25">
      <c r="A816" s="33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2.5" customHeight="1" x14ac:dyDescent="0.25">
      <c r="A817" s="33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2.5" customHeight="1" x14ac:dyDescent="0.25">
      <c r="A818" s="33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2.5" customHeight="1" x14ac:dyDescent="0.25">
      <c r="A819" s="33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2.5" customHeight="1" x14ac:dyDescent="0.25">
      <c r="A820" s="33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2.5" customHeight="1" x14ac:dyDescent="0.25">
      <c r="A821" s="33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2.5" customHeight="1" x14ac:dyDescent="0.25">
      <c r="A822" s="33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2.5" customHeight="1" x14ac:dyDescent="0.25">
      <c r="A823" s="33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2.5" customHeight="1" x14ac:dyDescent="0.25">
      <c r="A824" s="33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2.5" customHeight="1" x14ac:dyDescent="0.25">
      <c r="A825" s="33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2.5" customHeight="1" x14ac:dyDescent="0.25">
      <c r="A826" s="33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2.5" customHeight="1" x14ac:dyDescent="0.25">
      <c r="A827" s="33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2.5" customHeight="1" x14ac:dyDescent="0.25">
      <c r="A828" s="33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2.5" customHeight="1" x14ac:dyDescent="0.25">
      <c r="A829" s="33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2.5" customHeight="1" x14ac:dyDescent="0.25">
      <c r="A830" s="33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2.5" customHeight="1" x14ac:dyDescent="0.25">
      <c r="A831" s="33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2.5" customHeight="1" x14ac:dyDescent="0.25">
      <c r="A832" s="33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2.5" customHeight="1" x14ac:dyDescent="0.25">
      <c r="A833" s="33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2.5" customHeight="1" x14ac:dyDescent="0.25">
      <c r="A834" s="33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2.5" customHeight="1" x14ac:dyDescent="0.25">
      <c r="A835" s="33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2.5" customHeight="1" x14ac:dyDescent="0.25">
      <c r="A836" s="33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2.5" customHeight="1" x14ac:dyDescent="0.25">
      <c r="A837" s="33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2.5" customHeight="1" x14ac:dyDescent="0.25">
      <c r="A838" s="33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2.5" customHeight="1" x14ac:dyDescent="0.25">
      <c r="A839" s="33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2.5" customHeight="1" x14ac:dyDescent="0.25">
      <c r="A840" s="33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2.5" customHeight="1" x14ac:dyDescent="0.25">
      <c r="A841" s="33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2.5" customHeight="1" x14ac:dyDescent="0.25">
      <c r="A842" s="33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2.5" customHeight="1" x14ac:dyDescent="0.25">
      <c r="A843" s="33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2.5" customHeight="1" x14ac:dyDescent="0.25">
      <c r="A844" s="33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2.5" customHeight="1" x14ac:dyDescent="0.25">
      <c r="A845" s="33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2.5" customHeight="1" x14ac:dyDescent="0.25">
      <c r="A846" s="33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2.5" customHeight="1" x14ac:dyDescent="0.25">
      <c r="A847" s="33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2.5" customHeight="1" x14ac:dyDescent="0.25">
      <c r="A848" s="33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2.5" customHeight="1" x14ac:dyDescent="0.25">
      <c r="A849" s="33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2.5" customHeight="1" x14ac:dyDescent="0.25">
      <c r="A850" s="33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2.5" customHeight="1" x14ac:dyDescent="0.25">
      <c r="A851" s="33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2.5" customHeight="1" x14ac:dyDescent="0.25">
      <c r="A852" s="33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2.5" customHeight="1" x14ac:dyDescent="0.25">
      <c r="A853" s="33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2.5" customHeight="1" x14ac:dyDescent="0.25">
      <c r="A854" s="33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2.5" customHeight="1" x14ac:dyDescent="0.25">
      <c r="A855" s="33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2.5" customHeight="1" x14ac:dyDescent="0.25">
      <c r="A856" s="33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2.5" customHeight="1" x14ac:dyDescent="0.25">
      <c r="A857" s="33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2.5" customHeight="1" x14ac:dyDescent="0.25">
      <c r="A858" s="33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2.5" customHeight="1" x14ac:dyDescent="0.25">
      <c r="A859" s="33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2.5" customHeight="1" x14ac:dyDescent="0.25">
      <c r="A860" s="33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2.5" customHeight="1" x14ac:dyDescent="0.25">
      <c r="A861" s="33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2.5" customHeight="1" x14ac:dyDescent="0.25">
      <c r="A862" s="33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2.5" customHeight="1" x14ac:dyDescent="0.25">
      <c r="A863" s="33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2.5" customHeight="1" x14ac:dyDescent="0.25">
      <c r="A864" s="33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2.5" customHeight="1" x14ac:dyDescent="0.25">
      <c r="A865" s="33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2.5" customHeight="1" x14ac:dyDescent="0.25">
      <c r="A866" s="33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2.5" customHeight="1" x14ac:dyDescent="0.25">
      <c r="A867" s="33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2.5" customHeight="1" x14ac:dyDescent="0.25">
      <c r="A868" s="33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2.5" customHeight="1" x14ac:dyDescent="0.25">
      <c r="A869" s="33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2.5" customHeight="1" x14ac:dyDescent="0.25">
      <c r="A870" s="33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2.5" customHeight="1" x14ac:dyDescent="0.25">
      <c r="A871" s="33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2.5" customHeight="1" x14ac:dyDescent="0.25">
      <c r="A872" s="33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2.5" customHeight="1" x14ac:dyDescent="0.25">
      <c r="A873" s="33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2.5" customHeight="1" x14ac:dyDescent="0.25">
      <c r="A874" s="33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2.5" customHeight="1" x14ac:dyDescent="0.25">
      <c r="A875" s="33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2.5" customHeight="1" x14ac:dyDescent="0.25">
      <c r="A876" s="33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2.5" customHeight="1" x14ac:dyDescent="0.25">
      <c r="A877" s="33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2.5" customHeight="1" x14ac:dyDescent="0.25">
      <c r="A878" s="33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2.5" customHeight="1" x14ac:dyDescent="0.25">
      <c r="A879" s="33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2.5" customHeight="1" x14ac:dyDescent="0.25">
      <c r="A880" s="33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2.5" customHeight="1" x14ac:dyDescent="0.25">
      <c r="A881" s="33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2.5" customHeight="1" x14ac:dyDescent="0.25">
      <c r="A882" s="33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2.5" customHeight="1" x14ac:dyDescent="0.25">
      <c r="A883" s="33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2.5" customHeight="1" x14ac:dyDescent="0.25">
      <c r="A884" s="33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2.5" customHeight="1" x14ac:dyDescent="0.25">
      <c r="A885" s="33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2.5" customHeight="1" x14ac:dyDescent="0.25">
      <c r="A886" s="33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2.5" customHeight="1" x14ac:dyDescent="0.25">
      <c r="A887" s="33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2.5" customHeight="1" x14ac:dyDescent="0.25">
      <c r="A888" s="33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2.5" customHeight="1" x14ac:dyDescent="0.25">
      <c r="A889" s="33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2.5" customHeight="1" x14ac:dyDescent="0.25">
      <c r="A890" s="33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2.5" customHeight="1" x14ac:dyDescent="0.25">
      <c r="A891" s="33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2.5" customHeight="1" x14ac:dyDescent="0.25">
      <c r="A892" s="33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2.5" customHeight="1" x14ac:dyDescent="0.25">
      <c r="A893" s="33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2.5" customHeight="1" x14ac:dyDescent="0.25">
      <c r="A894" s="33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2.5" customHeight="1" x14ac:dyDescent="0.25">
      <c r="A895" s="33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2.5" customHeight="1" x14ac:dyDescent="0.25">
      <c r="A896" s="33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2.5" customHeight="1" x14ac:dyDescent="0.25">
      <c r="A897" s="33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2.5" customHeight="1" x14ac:dyDescent="0.25">
      <c r="A898" s="33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2.5" customHeight="1" x14ac:dyDescent="0.25">
      <c r="A899" s="33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2.5" customHeight="1" x14ac:dyDescent="0.25">
      <c r="A900" s="33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2.5" customHeight="1" x14ac:dyDescent="0.25">
      <c r="A901" s="33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2.5" customHeight="1" x14ac:dyDescent="0.25">
      <c r="A902" s="33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2.5" customHeight="1" x14ac:dyDescent="0.25">
      <c r="A903" s="33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2.5" customHeight="1" x14ac:dyDescent="0.25">
      <c r="A904" s="33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2.5" customHeight="1" x14ac:dyDescent="0.25">
      <c r="A905" s="33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2.5" customHeight="1" x14ac:dyDescent="0.25">
      <c r="A906" s="33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2.5" customHeight="1" x14ac:dyDescent="0.25">
      <c r="A907" s="33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2.5" customHeight="1" x14ac:dyDescent="0.25">
      <c r="A908" s="33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2.5" customHeight="1" x14ac:dyDescent="0.25">
      <c r="A909" s="33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2.5" customHeight="1" x14ac:dyDescent="0.25">
      <c r="A910" s="33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2.5" customHeight="1" x14ac:dyDescent="0.25">
      <c r="A911" s="33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2.5" customHeight="1" x14ac:dyDescent="0.25">
      <c r="A912" s="33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2.5" customHeight="1" x14ac:dyDescent="0.25">
      <c r="A913" s="33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2.5" customHeight="1" x14ac:dyDescent="0.25">
      <c r="A914" s="33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2.5" customHeight="1" x14ac:dyDescent="0.25">
      <c r="A915" s="33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2.5" customHeight="1" x14ac:dyDescent="0.25">
      <c r="A916" s="33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2.5" customHeight="1" x14ac:dyDescent="0.25">
      <c r="A917" s="33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2.5" customHeight="1" x14ac:dyDescent="0.25">
      <c r="A918" s="33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2.5" customHeight="1" x14ac:dyDescent="0.25">
      <c r="A919" s="33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 ht="12.5" customHeight="1" x14ac:dyDescent="0.25">
      <c r="A920" s="33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 ht="12.5" customHeight="1" x14ac:dyDescent="0.25">
      <c r="A921" s="33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 ht="12.5" customHeight="1" x14ac:dyDescent="0.25">
      <c r="A922" s="33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 ht="12.5" customHeight="1" x14ac:dyDescent="0.25">
      <c r="A923" s="33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 ht="12.5" customHeight="1" x14ac:dyDescent="0.25">
      <c r="A924" s="33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 ht="12.5" customHeight="1" x14ac:dyDescent="0.25">
      <c r="A925" s="33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 ht="12.5" customHeight="1" x14ac:dyDescent="0.25">
      <c r="A926" s="33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 ht="12.5" customHeight="1" x14ac:dyDescent="0.25">
      <c r="A927" s="33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 ht="12.5" customHeight="1" x14ac:dyDescent="0.25">
      <c r="A928" s="33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 ht="12.5" customHeight="1" x14ac:dyDescent="0.25">
      <c r="A929" s="33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 ht="12.5" customHeight="1" x14ac:dyDescent="0.25">
      <c r="A930" s="33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 ht="12.5" customHeight="1" x14ac:dyDescent="0.25">
      <c r="A931" s="33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 ht="12.5" customHeight="1" x14ac:dyDescent="0.25">
      <c r="A932" s="33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 ht="12.5" customHeight="1" x14ac:dyDescent="0.25">
      <c r="A933" s="33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 ht="12.5" customHeight="1" x14ac:dyDescent="0.25">
      <c r="A934" s="33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 ht="12.5" customHeight="1" x14ac:dyDescent="0.25">
      <c r="A935" s="33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 ht="12.5" customHeight="1" x14ac:dyDescent="0.25">
      <c r="A936" s="33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 ht="12.5" customHeight="1" x14ac:dyDescent="0.25">
      <c r="A937" s="33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 ht="12.5" customHeight="1" x14ac:dyDescent="0.25">
      <c r="A938" s="33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 ht="12.5" customHeight="1" x14ac:dyDescent="0.25">
      <c r="A939" s="33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 ht="12.5" customHeight="1" x14ac:dyDescent="0.25">
      <c r="A940" s="33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 ht="12.5" customHeight="1" x14ac:dyDescent="0.25">
      <c r="A941" s="33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 ht="12.5" customHeight="1" x14ac:dyDescent="0.25">
      <c r="A942" s="33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 ht="12.5" customHeight="1" x14ac:dyDescent="0.25">
      <c r="A943" s="33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 ht="12.5" customHeight="1" x14ac:dyDescent="0.25">
      <c r="A944" s="33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 ht="12.5" customHeight="1" x14ac:dyDescent="0.25">
      <c r="A945" s="33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 ht="12.5" customHeight="1" x14ac:dyDescent="0.25">
      <c r="A946" s="33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 ht="12.5" customHeight="1" x14ac:dyDescent="0.25">
      <c r="A947" s="33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 ht="12.5" customHeight="1" x14ac:dyDescent="0.25">
      <c r="A948" s="33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 ht="12.5" customHeight="1" x14ac:dyDescent="0.25">
      <c r="A949" s="33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 ht="12.5" customHeight="1" x14ac:dyDescent="0.25">
      <c r="A950" s="33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 ht="12.5" customHeight="1" x14ac:dyDescent="0.25">
      <c r="A951" s="33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 ht="12.5" customHeight="1" x14ac:dyDescent="0.25">
      <c r="A952" s="33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 ht="12.5" customHeight="1" x14ac:dyDescent="0.25">
      <c r="A953" s="33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 ht="12.5" customHeight="1" x14ac:dyDescent="0.25">
      <c r="A954" s="33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 ht="12.5" customHeight="1" x14ac:dyDescent="0.25">
      <c r="A955" s="33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 ht="12.5" customHeight="1" x14ac:dyDescent="0.25">
      <c r="A956" s="33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 ht="12.5" customHeight="1" x14ac:dyDescent="0.25">
      <c r="A957" s="33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 ht="12.5" customHeight="1" x14ac:dyDescent="0.25">
      <c r="A958" s="33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 ht="12.5" customHeight="1" x14ac:dyDescent="0.25">
      <c r="A959" s="33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 ht="12.5" customHeight="1" x14ac:dyDescent="0.25">
      <c r="A960" s="33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 ht="12.5" customHeight="1" x14ac:dyDescent="0.25">
      <c r="A961" s="33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 ht="12.5" customHeight="1" x14ac:dyDescent="0.25">
      <c r="A962" s="33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 ht="12.5" customHeight="1" x14ac:dyDescent="0.25">
      <c r="A963" s="33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 ht="12.5" customHeight="1" x14ac:dyDescent="0.25">
      <c r="A964" s="33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 ht="12.5" customHeight="1" x14ac:dyDescent="0.25">
      <c r="A965" s="33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 ht="12.5" customHeight="1" x14ac:dyDescent="0.25">
      <c r="A966" s="33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 ht="12.5" customHeight="1" x14ac:dyDescent="0.25">
      <c r="A967" s="33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 ht="12.5" customHeight="1" x14ac:dyDescent="0.25">
      <c r="A968" s="33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 ht="12.5" customHeight="1" x14ac:dyDescent="0.25">
      <c r="A969" s="33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 ht="12.5" customHeight="1" x14ac:dyDescent="0.25">
      <c r="A970" s="33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 ht="12.5" customHeight="1" x14ac:dyDescent="0.25">
      <c r="A971" s="33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 ht="12.5" customHeight="1" x14ac:dyDescent="0.25">
      <c r="A972" s="33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 ht="12.5" customHeight="1" x14ac:dyDescent="0.25">
      <c r="A973" s="33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 ht="12.5" customHeight="1" x14ac:dyDescent="0.25">
      <c r="A974" s="33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 ht="12.5" customHeight="1" x14ac:dyDescent="0.25">
      <c r="A975" s="33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 ht="12.5" customHeight="1" x14ac:dyDescent="0.25">
      <c r="A976" s="33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 ht="12.5" customHeight="1" x14ac:dyDescent="0.25">
      <c r="A977" s="33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 ht="12.5" customHeight="1" x14ac:dyDescent="0.25">
      <c r="A978" s="33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 ht="12.5" customHeight="1" x14ac:dyDescent="0.25">
      <c r="A979" s="33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 ht="12.5" customHeight="1" x14ac:dyDescent="0.25">
      <c r="A980" s="33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 ht="12.5" customHeight="1" x14ac:dyDescent="0.25">
      <c r="A981" s="33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 ht="12.5" customHeight="1" x14ac:dyDescent="0.25">
      <c r="A982" s="33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 ht="12.5" customHeight="1" x14ac:dyDescent="0.25">
      <c r="A983" s="33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 ht="12.5" customHeight="1" x14ac:dyDescent="0.25">
      <c r="A984" s="33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 ht="12.5" customHeight="1" x14ac:dyDescent="0.25">
      <c r="A985" s="33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 ht="12.5" customHeight="1" x14ac:dyDescent="0.25">
      <c r="A986" s="33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 ht="12.5" customHeight="1" x14ac:dyDescent="0.25">
      <c r="A987" s="33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 ht="12.5" customHeight="1" x14ac:dyDescent="0.25">
      <c r="A988" s="33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 ht="12.5" customHeight="1" x14ac:dyDescent="0.25">
      <c r="A989" s="33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 ht="12.5" customHeight="1" x14ac:dyDescent="0.25">
      <c r="A990" s="33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 ht="12.5" customHeight="1" x14ac:dyDescent="0.25">
      <c r="A991" s="33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 ht="12.5" customHeight="1" x14ac:dyDescent="0.25">
      <c r="A992" s="33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 ht="12.5" customHeight="1" x14ac:dyDescent="0.25">
      <c r="A993" s="33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 ht="12.5" customHeight="1" x14ac:dyDescent="0.25">
      <c r="A994" s="33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 ht="12.5" customHeight="1" x14ac:dyDescent="0.25">
      <c r="A995" s="33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 ht="12.5" customHeight="1" x14ac:dyDescent="0.25">
      <c r="A996" s="33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 ht="12.5" customHeight="1" x14ac:dyDescent="0.25">
      <c r="A997" s="33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 ht="12.5" customHeight="1" x14ac:dyDescent="0.25">
      <c r="A998" s="33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 ht="12.5" customHeight="1" x14ac:dyDescent="0.25">
      <c r="A999" s="33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 ht="12.5" customHeight="1" x14ac:dyDescent="0.25">
      <c r="A1000" s="33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 spans="1:26" ht="12.5" customHeight="1" x14ac:dyDescent="0.25">
      <c r="A1001" s="33"/>
      <c r="B1001" s="45"/>
      <c r="C1001" s="45"/>
      <c r="D1001" s="45"/>
      <c r="E1001" s="45"/>
      <c r="F1001" s="45"/>
      <c r="G1001" s="45"/>
      <c r="H1001" s="45"/>
      <c r="I1001" s="45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</sheetData>
  <mergeCells count="1">
    <mergeCell ref="A1:C1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00. 確認項目總表</vt:lpstr>
      <vt:lpstr>課綱(參考範本)</vt:lpstr>
      <vt:lpstr>01. 課綱</vt:lpstr>
      <vt:lpstr>02. 測驗15題</vt:lpstr>
      <vt:lpstr>03. 系統需求表</vt:lpstr>
      <vt:lpstr>04. 課程資訊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張庭禎</cp:lastModifiedBy>
  <dcterms:created xsi:type="dcterms:W3CDTF">2026-09-26T03:21:11Z</dcterms:created>
  <dcterms:modified xsi:type="dcterms:W3CDTF">2026-09-26T07:35:49Z</dcterms:modified>
</cp:coreProperties>
</file>